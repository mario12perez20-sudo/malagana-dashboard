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Crhistian\Costos\"/>
    </mc:Choice>
  </mc:AlternateContent>
  <xr:revisionPtr revIDLastSave="0" documentId="13_ncr:1_{11995FE0-AAFC-4FED-9D88-15C1667D6E21}" xr6:coauthVersionLast="46" xr6:coauthVersionMax="47" xr10:uidLastSave="{00000000-0000-0000-0000-000000000000}"/>
  <bookViews>
    <workbookView xWindow="-120" yWindow="-120" windowWidth="20730" windowHeight="11160" firstSheet="6" activeTab="11" xr2:uid="{00000000-000D-0000-FFFF-FFFF00000000}"/>
  </bookViews>
  <sheets>
    <sheet name="PLANTILLAS " sheetId="52" r:id="rId1"/>
    <sheet name="ENTREGABLES" sheetId="49" r:id="rId2"/>
    <sheet name="PRECIOS" sheetId="37" r:id="rId3"/>
    <sheet name="LISTADO  PRODUCTO" sheetId="35" r:id="rId4"/>
    <sheet name="CENAS DICIEMBRE " sheetId="55" r:id="rId5"/>
    <sheet name="CORTES " sheetId="45" r:id="rId6"/>
    <sheet name="TARDEO" sheetId="53" r:id="rId7"/>
    <sheet name="ARROCES" sheetId="54" r:id="rId8"/>
    <sheet name="ALMUERZOS Y CREMAS " sheetId="44" r:id="rId9"/>
    <sheet name="PLATOS" sheetId="50" r:id="rId10"/>
    <sheet name="PIZZAS" sheetId="43" r:id="rId11"/>
    <sheet name="SUB RESETAS" sheetId="51" r:id="rId12"/>
    <sheet name="ENTRADAS (2)" sheetId="48" r:id="rId13"/>
    <sheet name="ENTRADAS" sheetId="34" r:id="rId14"/>
    <sheet name="POSTRES" sheetId="47" r:id="rId15"/>
    <sheet name="PASTAS" sheetId="46" r:id="rId16"/>
    <sheet name="SALSA Y PASTA " sheetId="25" r:id="rId17"/>
    <sheet name="Propuesta Alm" sheetId="41" r:id="rId18"/>
    <sheet name="HAMB 2 X1" sheetId="42" r:id="rId19"/>
    <sheet name="CREMAS" sheetId="40" r:id="rId20"/>
    <sheet name="FICHAS TECNICAS " sheetId="36" r:id="rId21"/>
    <sheet name="PICADA MALAGANA" sheetId="30" r:id="rId22"/>
    <sheet name="ESPECIALES " sheetId="20" r:id="rId23"/>
    <sheet name="SUB RECETAS" sheetId="22" r:id="rId24"/>
    <sheet name="Compras 22 mayo" sheetId="39" r:id="rId25"/>
  </sheets>
  <calcPr calcId="191029"/>
</workbook>
</file>

<file path=xl/calcChain.xml><?xml version="1.0" encoding="utf-8"?>
<calcChain xmlns="http://schemas.openxmlformats.org/spreadsheetml/2006/main">
  <c r="O147" i="51" l="1"/>
  <c r="V26" i="55"/>
  <c r="W26" i="55" s="1"/>
  <c r="U26" i="55"/>
  <c r="AA22" i="55"/>
  <c r="AA23" i="55"/>
  <c r="AA21" i="55"/>
  <c r="Z21" i="55"/>
  <c r="V22" i="55"/>
  <c r="V23" i="55"/>
  <c r="V21" i="55"/>
  <c r="X22" i="55"/>
  <c r="X23" i="55"/>
  <c r="X21" i="55"/>
  <c r="Z24" i="55"/>
  <c r="Z22" i="55"/>
  <c r="Z23" i="55"/>
  <c r="V18" i="55"/>
  <c r="W16" i="55"/>
  <c r="U16" i="55"/>
  <c r="U18" i="55" s="1"/>
  <c r="F20" i="45"/>
  <c r="V10" i="55"/>
  <c r="Q38" i="35"/>
  <c r="J38" i="35"/>
  <c r="L38" i="35" s="1"/>
  <c r="U8" i="55"/>
  <c r="U10" i="55" s="1"/>
  <c r="W10" i="55" s="1"/>
  <c r="W18" i="55" l="1"/>
  <c r="W8" i="55"/>
  <c r="D38" i="35"/>
  <c r="K38" i="35"/>
  <c r="G38" i="35"/>
  <c r="H38" i="35" l="1"/>
  <c r="O38" i="35"/>
  <c r="P38" i="35" s="1"/>
  <c r="M38" i="35"/>
  <c r="N38" i="35" s="1"/>
  <c r="E38" i="35"/>
  <c r="R16" i="55"/>
  <c r="R18" i="55"/>
  <c r="R17" i="55"/>
  <c r="R7" i="55"/>
  <c r="J37" i="35"/>
  <c r="L37" i="35" s="1"/>
  <c r="Q37" i="35"/>
  <c r="L18" i="55"/>
  <c r="K37" i="35" l="1"/>
  <c r="R19" i="55"/>
  <c r="S19" i="55" s="1"/>
  <c r="F5" i="55"/>
  <c r="F18" i="55" l="1"/>
  <c r="F12" i="55"/>
  <c r="R63" i="55"/>
  <c r="L63" i="55"/>
  <c r="F63" i="55"/>
  <c r="R62" i="55"/>
  <c r="L62" i="55"/>
  <c r="F62" i="55"/>
  <c r="R61" i="55"/>
  <c r="L61" i="55"/>
  <c r="F61" i="55"/>
  <c r="R59" i="55"/>
  <c r="L59" i="55"/>
  <c r="F59" i="55"/>
  <c r="R58" i="55"/>
  <c r="L58" i="55"/>
  <c r="F58" i="55"/>
  <c r="R57" i="55"/>
  <c r="L57" i="55"/>
  <c r="F57" i="55"/>
  <c r="R56" i="55"/>
  <c r="L56" i="55"/>
  <c r="F56" i="55"/>
  <c r="R55" i="55"/>
  <c r="L55" i="55"/>
  <c r="F55" i="55"/>
  <c r="R54" i="55"/>
  <c r="L54" i="55"/>
  <c r="F54" i="55"/>
  <c r="R53" i="55"/>
  <c r="L53" i="55"/>
  <c r="F53" i="55"/>
  <c r="R52" i="55"/>
  <c r="L52" i="55"/>
  <c r="F52" i="55"/>
  <c r="R51" i="55"/>
  <c r="L51" i="55"/>
  <c r="F51" i="55"/>
  <c r="R41" i="55"/>
  <c r="L41" i="55"/>
  <c r="R40" i="55"/>
  <c r="L40" i="55"/>
  <c r="F40" i="55"/>
  <c r="R39" i="55"/>
  <c r="L39" i="55"/>
  <c r="F39" i="55"/>
  <c r="F41" i="55" s="1"/>
  <c r="R37" i="55"/>
  <c r="L37" i="55"/>
  <c r="R36" i="55"/>
  <c r="L36" i="55"/>
  <c r="F36" i="55"/>
  <c r="R35" i="55"/>
  <c r="L35" i="55"/>
  <c r="F35" i="55"/>
  <c r="R34" i="55"/>
  <c r="L34" i="55"/>
  <c r="F34" i="55"/>
  <c r="R33" i="55"/>
  <c r="L33" i="55"/>
  <c r="F33" i="55"/>
  <c r="R32" i="55"/>
  <c r="L32" i="55"/>
  <c r="F32" i="55"/>
  <c r="R31" i="55"/>
  <c r="L31" i="55"/>
  <c r="F31" i="55"/>
  <c r="R30" i="55"/>
  <c r="L30" i="55"/>
  <c r="F30" i="55"/>
  <c r="R29" i="55"/>
  <c r="L29" i="55"/>
  <c r="F29" i="55"/>
  <c r="F37" i="55" s="1"/>
  <c r="F43" i="55" s="1"/>
  <c r="L17" i="55"/>
  <c r="F17" i="55"/>
  <c r="L16" i="55"/>
  <c r="L19" i="55" s="1"/>
  <c r="F16" i="55"/>
  <c r="R11" i="55"/>
  <c r="L11" i="55"/>
  <c r="F11" i="55"/>
  <c r="R10" i="55"/>
  <c r="L10" i="55"/>
  <c r="F10" i="55"/>
  <c r="R9" i="55"/>
  <c r="L9" i="55"/>
  <c r="F9" i="55"/>
  <c r="R8" i="55"/>
  <c r="L8" i="55"/>
  <c r="F8" i="55"/>
  <c r="L7" i="55"/>
  <c r="F7" i="55"/>
  <c r="R6" i="55"/>
  <c r="L6" i="55"/>
  <c r="F6" i="55"/>
  <c r="R5" i="55"/>
  <c r="L5" i="55"/>
  <c r="R4" i="55"/>
  <c r="L4" i="55"/>
  <c r="F4" i="55"/>
  <c r="Q35" i="35"/>
  <c r="G35" i="35"/>
  <c r="J35" i="35"/>
  <c r="K35" i="35" s="1"/>
  <c r="D35" i="35"/>
  <c r="Q34" i="35"/>
  <c r="L34" i="35"/>
  <c r="K34" i="35"/>
  <c r="O34" i="35" s="1"/>
  <c r="P34" i="35" s="1"/>
  <c r="H34" i="35"/>
  <c r="G34" i="35"/>
  <c r="E34" i="35"/>
  <c r="J34" i="35"/>
  <c r="D34" i="35"/>
  <c r="F38" i="54"/>
  <c r="F37" i="54"/>
  <c r="F36" i="54"/>
  <c r="F34" i="54"/>
  <c r="F33" i="54"/>
  <c r="F32" i="54"/>
  <c r="F31" i="54"/>
  <c r="F30" i="54"/>
  <c r="F29" i="54"/>
  <c r="F28" i="54"/>
  <c r="F27" i="54"/>
  <c r="F26" i="54"/>
  <c r="F40" i="54" s="1"/>
  <c r="R14" i="55" l="1"/>
  <c r="R21" i="55" s="1"/>
  <c r="R22" i="55" s="1"/>
  <c r="R23" i="55" s="1"/>
  <c r="L14" i="55"/>
  <c r="L21" i="55" s="1"/>
  <c r="L22" i="55" s="1"/>
  <c r="L23" i="55" s="1"/>
  <c r="D37" i="35" s="1"/>
  <c r="F14" i="55"/>
  <c r="F19" i="55"/>
  <c r="F44" i="55"/>
  <c r="F45" i="55" s="1"/>
  <c r="R43" i="55"/>
  <c r="F65" i="55"/>
  <c r="F66" i="55" s="1"/>
  <c r="F67" i="55" s="1"/>
  <c r="R65" i="55"/>
  <c r="L43" i="55"/>
  <c r="L44" i="55" s="1"/>
  <c r="L45" i="55" s="1"/>
  <c r="L65" i="55"/>
  <c r="L66" i="55" s="1"/>
  <c r="L67" i="55" s="1"/>
  <c r="R44" i="55"/>
  <c r="R66" i="55"/>
  <c r="R67" i="55" s="1"/>
  <c r="O35" i="35"/>
  <c r="P35" i="35" s="1"/>
  <c r="E35" i="35"/>
  <c r="H35" i="35"/>
  <c r="L35" i="35"/>
  <c r="M35" i="35"/>
  <c r="N35" i="35" s="1"/>
  <c r="M34" i="35"/>
  <c r="N34" i="35" s="1"/>
  <c r="F41" i="54"/>
  <c r="F42" i="54" s="1"/>
  <c r="R45" i="55" l="1"/>
  <c r="E37" i="35"/>
  <c r="G37" i="35"/>
  <c r="M37" i="35"/>
  <c r="N37" i="35" s="1"/>
  <c r="F21" i="55"/>
  <c r="F22" i="55" s="1"/>
  <c r="F23" i="55" s="1"/>
  <c r="R16" i="54"/>
  <c r="R15" i="54"/>
  <c r="R14" i="54"/>
  <c r="R12" i="54"/>
  <c r="R11" i="54"/>
  <c r="R10" i="54"/>
  <c r="R9" i="54"/>
  <c r="R8" i="54"/>
  <c r="R7" i="54"/>
  <c r="R6" i="54"/>
  <c r="R5" i="54"/>
  <c r="R4" i="54"/>
  <c r="R18" i="54" s="1"/>
  <c r="L16" i="54"/>
  <c r="L15" i="54"/>
  <c r="L14" i="54"/>
  <c r="L12" i="54"/>
  <c r="L11" i="54"/>
  <c r="L10" i="54"/>
  <c r="L9" i="54"/>
  <c r="L8" i="54"/>
  <c r="L7" i="54"/>
  <c r="L6" i="54"/>
  <c r="L5" i="54"/>
  <c r="L4" i="54"/>
  <c r="F16" i="54"/>
  <c r="F15" i="54"/>
  <c r="F14" i="54"/>
  <c r="F12" i="54"/>
  <c r="F11" i="54"/>
  <c r="F10" i="54"/>
  <c r="F9" i="54"/>
  <c r="F8" i="54"/>
  <c r="F7" i="54"/>
  <c r="F6" i="54"/>
  <c r="F5" i="54"/>
  <c r="F4" i="54"/>
  <c r="Q33" i="35"/>
  <c r="L16" i="53"/>
  <c r="J33" i="35"/>
  <c r="K33" i="35" s="1"/>
  <c r="D33" i="35"/>
  <c r="G33" i="35" s="1"/>
  <c r="J32" i="35"/>
  <c r="K32" i="35" s="1"/>
  <c r="Q32" i="35"/>
  <c r="L32" i="35"/>
  <c r="D32" i="35"/>
  <c r="Q31" i="35"/>
  <c r="F31" i="35"/>
  <c r="J31" i="35"/>
  <c r="K31" i="35" s="1"/>
  <c r="H31" i="35" s="1"/>
  <c r="D31" i="35"/>
  <c r="G31" i="35" s="1"/>
  <c r="L44" i="53"/>
  <c r="R44" i="53"/>
  <c r="F44" i="53"/>
  <c r="F40" i="53"/>
  <c r="F38" i="53"/>
  <c r="F34" i="53"/>
  <c r="H37" i="35" l="1"/>
  <c r="O37" i="35"/>
  <c r="P37" i="35" s="1"/>
  <c r="E32" i="35"/>
  <c r="H33" i="35"/>
  <c r="L31" i="35"/>
  <c r="O33" i="35"/>
  <c r="P33" i="35" s="1"/>
  <c r="E31" i="35"/>
  <c r="G32" i="35"/>
  <c r="H32" i="35" s="1"/>
  <c r="E33" i="35"/>
  <c r="L33" i="35"/>
  <c r="L18" i="54"/>
  <c r="L19" i="54" s="1"/>
  <c r="L20" i="54" s="1"/>
  <c r="F18" i="54"/>
  <c r="F19" i="54" s="1"/>
  <c r="F20" i="54" s="1"/>
  <c r="R19" i="54"/>
  <c r="R20" i="54" s="1"/>
  <c r="M33" i="35"/>
  <c r="N33" i="35" s="1"/>
  <c r="M32" i="35"/>
  <c r="N32" i="35" s="1"/>
  <c r="M31" i="35"/>
  <c r="N31" i="35" s="1"/>
  <c r="O31" i="35"/>
  <c r="P31" i="35" s="1"/>
  <c r="F16" i="53"/>
  <c r="L12" i="53"/>
  <c r="L18" i="53" s="1"/>
  <c r="O32" i="35" l="1"/>
  <c r="P32" i="35" s="1"/>
  <c r="R60" i="53"/>
  <c r="L60" i="53"/>
  <c r="F60" i="53"/>
  <c r="R59" i="53"/>
  <c r="L59" i="53"/>
  <c r="F59" i="53"/>
  <c r="R58" i="53"/>
  <c r="L58" i="53"/>
  <c r="F58" i="53"/>
  <c r="R56" i="53"/>
  <c r="L56" i="53"/>
  <c r="F56" i="53"/>
  <c r="R55" i="53"/>
  <c r="L55" i="53"/>
  <c r="F55" i="53"/>
  <c r="R54" i="53"/>
  <c r="L54" i="53"/>
  <c r="F54" i="53"/>
  <c r="R53" i="53"/>
  <c r="L53" i="53"/>
  <c r="F53" i="53"/>
  <c r="R52" i="53"/>
  <c r="L52" i="53"/>
  <c r="F52" i="53"/>
  <c r="R51" i="53"/>
  <c r="L51" i="53"/>
  <c r="F51" i="53"/>
  <c r="R50" i="53"/>
  <c r="L50" i="53"/>
  <c r="F50" i="53"/>
  <c r="R49" i="53"/>
  <c r="L49" i="53"/>
  <c r="F49" i="53"/>
  <c r="R48" i="53"/>
  <c r="R62" i="53" s="1"/>
  <c r="L48" i="53"/>
  <c r="F48" i="53"/>
  <c r="F62" i="53" s="1"/>
  <c r="R38" i="53"/>
  <c r="L38" i="53"/>
  <c r="R37" i="53"/>
  <c r="L37" i="53"/>
  <c r="F37" i="53"/>
  <c r="R36" i="53"/>
  <c r="L36" i="53"/>
  <c r="F36" i="53"/>
  <c r="R34" i="53"/>
  <c r="L34" i="53"/>
  <c r="R33" i="53"/>
  <c r="L33" i="53"/>
  <c r="F33" i="53"/>
  <c r="R32" i="53"/>
  <c r="L32" i="53"/>
  <c r="F32" i="53"/>
  <c r="R31" i="53"/>
  <c r="L31" i="53"/>
  <c r="F31" i="53"/>
  <c r="R30" i="53"/>
  <c r="L30" i="53"/>
  <c r="F30" i="53"/>
  <c r="R29" i="53"/>
  <c r="L29" i="53"/>
  <c r="F29" i="53"/>
  <c r="R28" i="53"/>
  <c r="L28" i="53"/>
  <c r="F28" i="53"/>
  <c r="R27" i="53"/>
  <c r="L27" i="53"/>
  <c r="F27" i="53"/>
  <c r="R26" i="53"/>
  <c r="L26" i="53"/>
  <c r="F26" i="53"/>
  <c r="R16" i="53"/>
  <c r="R15" i="53"/>
  <c r="L15" i="53"/>
  <c r="F15" i="53"/>
  <c r="R14" i="53"/>
  <c r="L14" i="53"/>
  <c r="F14" i="53"/>
  <c r="R12" i="53"/>
  <c r="R11" i="53"/>
  <c r="L11" i="53"/>
  <c r="F11" i="53"/>
  <c r="R10" i="53"/>
  <c r="L10" i="53"/>
  <c r="F10" i="53"/>
  <c r="R9" i="53"/>
  <c r="L9" i="53"/>
  <c r="F9" i="53"/>
  <c r="R8" i="53"/>
  <c r="L8" i="53"/>
  <c r="F8" i="53"/>
  <c r="R7" i="53"/>
  <c r="L7" i="53"/>
  <c r="F7" i="53"/>
  <c r="R6" i="53"/>
  <c r="L6" i="53"/>
  <c r="F6" i="53"/>
  <c r="R5" i="53"/>
  <c r="L5" i="53"/>
  <c r="F5" i="53"/>
  <c r="F12" i="53" s="1"/>
  <c r="F18" i="53" s="1"/>
  <c r="R4" i="53"/>
  <c r="L4" i="53"/>
  <c r="F4" i="53"/>
  <c r="I125" i="51"/>
  <c r="I98" i="51"/>
  <c r="L177" i="51"/>
  <c r="L176" i="51"/>
  <c r="L175" i="51"/>
  <c r="L173" i="51"/>
  <c r="L171" i="51"/>
  <c r="L170" i="51"/>
  <c r="L169" i="51"/>
  <c r="L168" i="51"/>
  <c r="L167" i="51"/>
  <c r="L166" i="51"/>
  <c r="L165" i="51"/>
  <c r="L164" i="51"/>
  <c r="I147" i="51"/>
  <c r="F177" i="51"/>
  <c r="F176" i="51"/>
  <c r="F175" i="51"/>
  <c r="F173" i="51"/>
  <c r="F171" i="51"/>
  <c r="F170" i="51"/>
  <c r="F169" i="51"/>
  <c r="F168" i="51"/>
  <c r="F167" i="51"/>
  <c r="F166" i="51"/>
  <c r="F165" i="51"/>
  <c r="F164" i="51"/>
  <c r="C104" i="51"/>
  <c r="R40" i="53" l="1"/>
  <c r="R18" i="53"/>
  <c r="R19" i="53" s="1"/>
  <c r="R20" i="53" s="1"/>
  <c r="L19" i="53"/>
  <c r="L20" i="53" s="1"/>
  <c r="L40" i="53"/>
  <c r="L41" i="53" s="1"/>
  <c r="L42" i="53" s="1"/>
  <c r="L62" i="53"/>
  <c r="F19" i="53"/>
  <c r="F20" i="53" s="1"/>
  <c r="F41" i="53"/>
  <c r="F42" i="53" s="1"/>
  <c r="R41" i="53"/>
  <c r="R42" i="53" s="1"/>
  <c r="F63" i="53"/>
  <c r="F64" i="53" s="1"/>
  <c r="R63" i="53"/>
  <c r="R64" i="53" s="1"/>
  <c r="L63" i="53"/>
  <c r="L64" i="53"/>
  <c r="L179" i="51"/>
  <c r="F179" i="51"/>
  <c r="L180" i="51"/>
  <c r="L181" i="51" s="1"/>
  <c r="F180" i="51"/>
  <c r="F181" i="51" s="1"/>
  <c r="F21" i="35" l="1"/>
  <c r="J12" i="35"/>
  <c r="K12" i="35" s="1"/>
  <c r="D16" i="35"/>
  <c r="D15" i="35"/>
  <c r="D14" i="35"/>
  <c r="D13" i="35"/>
  <c r="D12" i="35"/>
  <c r="M12" i="35" l="1"/>
  <c r="E12" i="35"/>
  <c r="L12" i="35"/>
  <c r="L39" i="50"/>
  <c r="L38" i="50"/>
  <c r="L37" i="50"/>
  <c r="F41" i="50"/>
  <c r="F39" i="50"/>
  <c r="F35" i="50"/>
  <c r="R16" i="50"/>
  <c r="R15" i="50"/>
  <c r="R17" i="50" s="1"/>
  <c r="R12" i="50"/>
  <c r="AD21" i="44"/>
  <c r="X22" i="44"/>
  <c r="R22" i="44"/>
  <c r="L21" i="44"/>
  <c r="F22" i="44"/>
  <c r="F20" i="44"/>
  <c r="F16" i="44"/>
  <c r="L19" i="44"/>
  <c r="L15" i="44"/>
  <c r="R16" i="44"/>
  <c r="R20" i="44"/>
  <c r="X20" i="44"/>
  <c r="X16" i="44"/>
  <c r="AD15" i="44"/>
  <c r="F12" i="44" l="1"/>
  <c r="F13" i="44"/>
  <c r="F14" i="44"/>
  <c r="AD14" i="44"/>
  <c r="AD13" i="44"/>
  <c r="AD12" i="44"/>
  <c r="X14" i="44"/>
  <c r="X13" i="44"/>
  <c r="X12" i="44"/>
  <c r="R14" i="44"/>
  <c r="R13" i="44"/>
  <c r="R12" i="44"/>
  <c r="L12" i="44"/>
  <c r="L13" i="44"/>
  <c r="R154" i="51"/>
  <c r="R153" i="51"/>
  <c r="R152" i="51"/>
  <c r="R150" i="51"/>
  <c r="R148" i="51"/>
  <c r="R147" i="51"/>
  <c r="R146" i="51"/>
  <c r="R145" i="51"/>
  <c r="R144" i="51"/>
  <c r="R143" i="51"/>
  <c r="R142" i="51"/>
  <c r="R141" i="51"/>
  <c r="L154" i="51"/>
  <c r="L153" i="51"/>
  <c r="L152" i="51"/>
  <c r="L150" i="51"/>
  <c r="L148" i="51"/>
  <c r="L147" i="51"/>
  <c r="L146" i="51"/>
  <c r="L145" i="51"/>
  <c r="L144" i="51"/>
  <c r="L143" i="51"/>
  <c r="L142" i="51"/>
  <c r="L141" i="51"/>
  <c r="F154" i="51"/>
  <c r="F153" i="51"/>
  <c r="F152" i="51"/>
  <c r="F150" i="51"/>
  <c r="F148" i="51"/>
  <c r="F147" i="51"/>
  <c r="F146" i="51"/>
  <c r="F145" i="51"/>
  <c r="F144" i="51"/>
  <c r="F143" i="51"/>
  <c r="F142" i="51"/>
  <c r="F141" i="51"/>
  <c r="AD12" i="43"/>
  <c r="AD11" i="43"/>
  <c r="AD13" i="43" s="1"/>
  <c r="X12" i="43"/>
  <c r="X11" i="43"/>
  <c r="X13" i="43" s="1"/>
  <c r="R12" i="43"/>
  <c r="R11" i="43"/>
  <c r="R13" i="43" s="1"/>
  <c r="L13" i="43"/>
  <c r="L15" i="43"/>
  <c r="L11" i="43"/>
  <c r="C128" i="51"/>
  <c r="F126" i="51"/>
  <c r="R156" i="51" l="1"/>
  <c r="R157" i="51" s="1"/>
  <c r="R158" i="51" s="1"/>
  <c r="R160" i="51" s="1"/>
  <c r="L156" i="51"/>
  <c r="L157" i="51" s="1"/>
  <c r="L158" i="51" s="1"/>
  <c r="L160" i="51" s="1"/>
  <c r="F156" i="51"/>
  <c r="F157" i="51" s="1"/>
  <c r="F158" i="51" s="1"/>
  <c r="F160" i="51" s="1"/>
  <c r="Q30" i="35"/>
  <c r="F38" i="50"/>
  <c r="F37" i="50"/>
  <c r="F30" i="35" s="1"/>
  <c r="J30" i="35"/>
  <c r="K30" i="35" s="1"/>
  <c r="L30" i="35" l="1"/>
  <c r="F94" i="51" l="1"/>
  <c r="R102" i="51"/>
  <c r="L94" i="51" l="1"/>
  <c r="R131" i="51"/>
  <c r="R130" i="51"/>
  <c r="R129" i="51"/>
  <c r="R127" i="51"/>
  <c r="R125" i="51"/>
  <c r="R124" i="51"/>
  <c r="R123" i="51"/>
  <c r="R122" i="51"/>
  <c r="R121" i="51"/>
  <c r="R120" i="51"/>
  <c r="R119" i="51"/>
  <c r="R118" i="51"/>
  <c r="L131" i="51"/>
  <c r="L130" i="51"/>
  <c r="L129" i="51"/>
  <c r="L127" i="51"/>
  <c r="L125" i="51"/>
  <c r="L124" i="51"/>
  <c r="L123" i="51"/>
  <c r="L122" i="51"/>
  <c r="L121" i="51"/>
  <c r="L120" i="51"/>
  <c r="L119" i="51"/>
  <c r="L118" i="51"/>
  <c r="F131" i="51"/>
  <c r="F130" i="51"/>
  <c r="F129" i="51"/>
  <c r="F127" i="51"/>
  <c r="F125" i="51"/>
  <c r="F124" i="51"/>
  <c r="F123" i="51"/>
  <c r="F122" i="51"/>
  <c r="F121" i="51"/>
  <c r="F120" i="51"/>
  <c r="F119" i="51"/>
  <c r="F118" i="51"/>
  <c r="F103" i="51"/>
  <c r="F102" i="51"/>
  <c r="F133" i="51" l="1"/>
  <c r="L133" i="51"/>
  <c r="L134" i="51" s="1"/>
  <c r="L135" i="51" s="1"/>
  <c r="L137" i="51" s="1"/>
  <c r="R133" i="51"/>
  <c r="R134" i="51" s="1"/>
  <c r="R135" i="51" s="1"/>
  <c r="R137" i="51" s="1"/>
  <c r="F134" i="51"/>
  <c r="F135" i="51" s="1"/>
  <c r="F137" i="51" s="1"/>
  <c r="R35" i="50" l="1"/>
  <c r="L34" i="50"/>
  <c r="Q29" i="35"/>
  <c r="F29" i="35"/>
  <c r="J29" i="35"/>
  <c r="K29" i="35" s="1"/>
  <c r="Q28" i="35"/>
  <c r="F9" i="51"/>
  <c r="F6" i="51"/>
  <c r="L29" i="35" l="1"/>
  <c r="F10" i="51"/>
  <c r="F12" i="51"/>
  <c r="R63" i="50" l="1"/>
  <c r="R62" i="50"/>
  <c r="R61" i="50"/>
  <c r="R59" i="50"/>
  <c r="R57" i="50"/>
  <c r="R56" i="50"/>
  <c r="R55" i="50"/>
  <c r="R54" i="50"/>
  <c r="R53" i="50"/>
  <c r="R52" i="50"/>
  <c r="R51" i="50"/>
  <c r="R50" i="50"/>
  <c r="R65" i="50" s="1"/>
  <c r="L62" i="50"/>
  <c r="L61" i="50"/>
  <c r="L60" i="50"/>
  <c r="L58" i="50"/>
  <c r="L56" i="50"/>
  <c r="L55" i="50"/>
  <c r="L54" i="50"/>
  <c r="L53" i="50"/>
  <c r="L52" i="50"/>
  <c r="L51" i="50"/>
  <c r="L50" i="50"/>
  <c r="L49" i="50"/>
  <c r="L64" i="50" s="1"/>
  <c r="F62" i="50"/>
  <c r="F61" i="50"/>
  <c r="F60" i="50"/>
  <c r="F58" i="50"/>
  <c r="F56" i="50"/>
  <c r="F55" i="50"/>
  <c r="F54" i="50"/>
  <c r="F53" i="50"/>
  <c r="F52" i="50"/>
  <c r="F51" i="50"/>
  <c r="F50" i="50"/>
  <c r="F49" i="50"/>
  <c r="F64" i="50" s="1"/>
  <c r="R107" i="51"/>
  <c r="R106" i="51"/>
  <c r="R104" i="51"/>
  <c r="R101" i="51"/>
  <c r="R100" i="51"/>
  <c r="R99" i="51"/>
  <c r="R98" i="51"/>
  <c r="R97" i="51"/>
  <c r="R96" i="51"/>
  <c r="R95" i="51"/>
  <c r="R94" i="51"/>
  <c r="L108" i="51"/>
  <c r="L107" i="51"/>
  <c r="L106" i="51"/>
  <c r="L104" i="51"/>
  <c r="L101" i="51"/>
  <c r="L100" i="51"/>
  <c r="L99" i="51"/>
  <c r="L98" i="51"/>
  <c r="L97" i="51"/>
  <c r="L96" i="51"/>
  <c r="L95" i="51"/>
  <c r="F108" i="51"/>
  <c r="F107" i="51"/>
  <c r="F106" i="51"/>
  <c r="F104" i="51"/>
  <c r="F101" i="51"/>
  <c r="F100" i="51"/>
  <c r="F99" i="51"/>
  <c r="F98" i="51"/>
  <c r="F97" i="51"/>
  <c r="F96" i="51"/>
  <c r="F95" i="51"/>
  <c r="R108" i="51" l="1"/>
  <c r="R110" i="51" s="1"/>
  <c r="R111" i="51" s="1"/>
  <c r="R112" i="51" s="1"/>
  <c r="F110" i="51"/>
  <c r="F111" i="51" s="1"/>
  <c r="F112" i="51" s="1"/>
  <c r="F114" i="51" s="1"/>
  <c r="L110" i="51"/>
  <c r="L111" i="51" s="1"/>
  <c r="L112" i="51" s="1"/>
  <c r="L114" i="51" s="1"/>
  <c r="R66" i="50"/>
  <c r="R67" i="50" s="1"/>
  <c r="L65" i="50"/>
  <c r="L66" i="50" s="1"/>
  <c r="F65" i="50"/>
  <c r="F66" i="50" s="1"/>
  <c r="R59" i="51" l="1"/>
  <c r="R84" i="51"/>
  <c r="R83" i="51"/>
  <c r="R82" i="51"/>
  <c r="R80" i="51"/>
  <c r="R79" i="51"/>
  <c r="R78" i="51"/>
  <c r="R77" i="51"/>
  <c r="R76" i="51"/>
  <c r="R75" i="51"/>
  <c r="R74" i="51"/>
  <c r="R73" i="51"/>
  <c r="R72" i="51"/>
  <c r="L84" i="51"/>
  <c r="L83" i="51"/>
  <c r="L82" i="51"/>
  <c r="L80" i="51"/>
  <c r="L79" i="51"/>
  <c r="L78" i="51"/>
  <c r="L77" i="51"/>
  <c r="L76" i="51"/>
  <c r="L75" i="51"/>
  <c r="L74" i="51"/>
  <c r="L73" i="51"/>
  <c r="L72" i="51"/>
  <c r="F84" i="51"/>
  <c r="F83" i="51"/>
  <c r="F82" i="51"/>
  <c r="F80" i="51"/>
  <c r="F79" i="51"/>
  <c r="F78" i="51"/>
  <c r="F77" i="51"/>
  <c r="F76" i="51"/>
  <c r="F75" i="51"/>
  <c r="F74" i="51"/>
  <c r="F73" i="51"/>
  <c r="F72" i="51"/>
  <c r="X36" i="48"/>
  <c r="X14" i="48"/>
  <c r="X4" i="48"/>
  <c r="L36" i="51"/>
  <c r="L35" i="51"/>
  <c r="L34" i="51"/>
  <c r="L27" i="51"/>
  <c r="L28" i="51"/>
  <c r="L29" i="51"/>
  <c r="L30" i="51"/>
  <c r="L31" i="51"/>
  <c r="L32" i="51"/>
  <c r="L33" i="51"/>
  <c r="R11" i="51"/>
  <c r="F16" i="51"/>
  <c r="F15" i="51"/>
  <c r="R61" i="52"/>
  <c r="L61" i="52"/>
  <c r="F61" i="52"/>
  <c r="R60" i="52"/>
  <c r="L60" i="52"/>
  <c r="F60" i="52"/>
  <c r="R59" i="52"/>
  <c r="L59" i="52"/>
  <c r="F59" i="52"/>
  <c r="R57" i="52"/>
  <c r="L57" i="52"/>
  <c r="F57" i="52"/>
  <c r="R56" i="52"/>
  <c r="L56" i="52"/>
  <c r="F56" i="52"/>
  <c r="R55" i="52"/>
  <c r="L55" i="52"/>
  <c r="F55" i="52"/>
  <c r="R54" i="52"/>
  <c r="L54" i="52"/>
  <c r="F54" i="52"/>
  <c r="R53" i="52"/>
  <c r="L53" i="52"/>
  <c r="F53" i="52"/>
  <c r="R52" i="52"/>
  <c r="L52" i="52"/>
  <c r="F52" i="52"/>
  <c r="R51" i="52"/>
  <c r="L51" i="52"/>
  <c r="F51" i="52"/>
  <c r="R50" i="52"/>
  <c r="L50" i="52"/>
  <c r="F50" i="52"/>
  <c r="R49" i="52"/>
  <c r="R63" i="52" s="1"/>
  <c r="L49" i="52"/>
  <c r="L63" i="52" s="1"/>
  <c r="F49" i="52"/>
  <c r="F63" i="52" s="1"/>
  <c r="R39" i="52"/>
  <c r="L39" i="52"/>
  <c r="F39" i="52"/>
  <c r="R38" i="52"/>
  <c r="L38" i="52"/>
  <c r="F38" i="52"/>
  <c r="R37" i="52"/>
  <c r="L37" i="52"/>
  <c r="F37" i="52"/>
  <c r="R35" i="52"/>
  <c r="L35" i="52"/>
  <c r="F35" i="52"/>
  <c r="R34" i="52"/>
  <c r="L34" i="52"/>
  <c r="F34" i="52"/>
  <c r="R33" i="52"/>
  <c r="L33" i="52"/>
  <c r="F33" i="52"/>
  <c r="R32" i="52"/>
  <c r="L32" i="52"/>
  <c r="F32" i="52"/>
  <c r="R31" i="52"/>
  <c r="L31" i="52"/>
  <c r="F31" i="52"/>
  <c r="R30" i="52"/>
  <c r="L30" i="52"/>
  <c r="F30" i="52"/>
  <c r="R29" i="52"/>
  <c r="L29" i="52"/>
  <c r="F29" i="52"/>
  <c r="R28" i="52"/>
  <c r="L28" i="52"/>
  <c r="F28" i="52"/>
  <c r="R27" i="52"/>
  <c r="R41" i="52" s="1"/>
  <c r="L27" i="52"/>
  <c r="L41" i="52" s="1"/>
  <c r="F27" i="52"/>
  <c r="F41" i="52" s="1"/>
  <c r="R17" i="52"/>
  <c r="L17" i="52"/>
  <c r="F17" i="52"/>
  <c r="R16" i="52"/>
  <c r="L16" i="52"/>
  <c r="F16" i="52"/>
  <c r="R15" i="52"/>
  <c r="L15" i="52"/>
  <c r="F15" i="52"/>
  <c r="R13" i="52"/>
  <c r="L13" i="52"/>
  <c r="F13" i="52"/>
  <c r="R12" i="52"/>
  <c r="L12" i="52"/>
  <c r="F12" i="52"/>
  <c r="R11" i="52"/>
  <c r="L11" i="52"/>
  <c r="F11" i="52"/>
  <c r="R10" i="52"/>
  <c r="L10" i="52"/>
  <c r="F10" i="52"/>
  <c r="R9" i="52"/>
  <c r="L9" i="52"/>
  <c r="F9" i="52"/>
  <c r="R8" i="52"/>
  <c r="L8" i="52"/>
  <c r="F8" i="52"/>
  <c r="R7" i="52"/>
  <c r="L7" i="52"/>
  <c r="F7" i="52"/>
  <c r="R6" i="52"/>
  <c r="L6" i="52"/>
  <c r="F6" i="52"/>
  <c r="R5" i="52"/>
  <c r="R19" i="52" s="1"/>
  <c r="L5" i="52"/>
  <c r="L19" i="52" s="1"/>
  <c r="F5" i="52"/>
  <c r="F19" i="52" s="1"/>
  <c r="R62" i="51"/>
  <c r="L62" i="51"/>
  <c r="F62" i="51"/>
  <c r="R61" i="51"/>
  <c r="L61" i="51"/>
  <c r="F61" i="51"/>
  <c r="R60" i="51"/>
  <c r="L60" i="51"/>
  <c r="F60" i="51"/>
  <c r="R58" i="51"/>
  <c r="L58" i="51"/>
  <c r="F58" i="51"/>
  <c r="R57" i="51"/>
  <c r="L57" i="51"/>
  <c r="F57" i="51"/>
  <c r="R56" i="51"/>
  <c r="L56" i="51"/>
  <c r="F56" i="51"/>
  <c r="R55" i="51"/>
  <c r="L55" i="51"/>
  <c r="F55" i="51"/>
  <c r="R54" i="51"/>
  <c r="L54" i="51"/>
  <c r="F54" i="51"/>
  <c r="R53" i="51"/>
  <c r="L53" i="51"/>
  <c r="F53" i="51"/>
  <c r="R52" i="51"/>
  <c r="L52" i="51"/>
  <c r="F52" i="51"/>
  <c r="R51" i="51"/>
  <c r="L51" i="51"/>
  <c r="F51" i="51"/>
  <c r="R50" i="51"/>
  <c r="L50" i="51"/>
  <c r="F50" i="51"/>
  <c r="R40" i="51"/>
  <c r="F40" i="51"/>
  <c r="R39" i="51"/>
  <c r="F39" i="51"/>
  <c r="R38" i="51"/>
  <c r="F38" i="51"/>
  <c r="R36" i="51"/>
  <c r="R34" i="51"/>
  <c r="F34" i="51"/>
  <c r="R33" i="51"/>
  <c r="F33" i="51"/>
  <c r="R32" i="51"/>
  <c r="F32" i="51"/>
  <c r="R31" i="51"/>
  <c r="F31" i="51"/>
  <c r="R30" i="51"/>
  <c r="F30" i="51"/>
  <c r="R29" i="51"/>
  <c r="F29" i="51"/>
  <c r="R28" i="51"/>
  <c r="F28" i="51"/>
  <c r="R27" i="51"/>
  <c r="F27" i="51"/>
  <c r="R17" i="51"/>
  <c r="L17" i="51"/>
  <c r="F17" i="51"/>
  <c r="R16" i="51"/>
  <c r="L16" i="51"/>
  <c r="R15" i="51"/>
  <c r="L15" i="51"/>
  <c r="R13" i="51"/>
  <c r="L13" i="51"/>
  <c r="F13" i="51"/>
  <c r="L11" i="51"/>
  <c r="F11" i="51"/>
  <c r="R10" i="51"/>
  <c r="L10" i="51"/>
  <c r="F4" i="51"/>
  <c r="R9" i="51"/>
  <c r="L9" i="51"/>
  <c r="R8" i="51"/>
  <c r="L8" i="51"/>
  <c r="F8" i="51"/>
  <c r="R7" i="51"/>
  <c r="L7" i="51"/>
  <c r="F7" i="51"/>
  <c r="R6" i="51"/>
  <c r="L6" i="51"/>
  <c r="R5" i="51"/>
  <c r="L5" i="51"/>
  <c r="F5" i="51"/>
  <c r="R4" i="51"/>
  <c r="L4" i="51"/>
  <c r="L42" i="51" l="1"/>
  <c r="R19" i="51"/>
  <c r="F64" i="51"/>
  <c r="F65" i="51" s="1"/>
  <c r="F66" i="51" s="1"/>
  <c r="F68" i="51" s="1"/>
  <c r="R64" i="51"/>
  <c r="F19" i="51"/>
  <c r="F20" i="51" s="1"/>
  <c r="F21" i="51" s="1"/>
  <c r="F23" i="51" s="1"/>
  <c r="F42" i="51"/>
  <c r="F43" i="51" s="1"/>
  <c r="F44" i="51" s="1"/>
  <c r="F46" i="51" s="1"/>
  <c r="L43" i="51"/>
  <c r="L44" i="51" s="1"/>
  <c r="L46" i="51" s="1"/>
  <c r="R86" i="51"/>
  <c r="L86" i="51"/>
  <c r="F86" i="51"/>
  <c r="F87" i="51" s="1"/>
  <c r="F88" i="51" s="1"/>
  <c r="F90" i="51" s="1"/>
  <c r="L87" i="51"/>
  <c r="L88" i="51" s="1"/>
  <c r="L90" i="51" s="1"/>
  <c r="L19" i="51"/>
  <c r="L20" i="51" s="1"/>
  <c r="L21" i="51" s="1"/>
  <c r="L23" i="51" s="1"/>
  <c r="L64" i="51"/>
  <c r="L65" i="51" s="1"/>
  <c r="L66" i="51" s="1"/>
  <c r="L68" i="51" s="1"/>
  <c r="R20" i="51"/>
  <c r="R21" i="51" s="1"/>
  <c r="R23" i="51" s="1"/>
  <c r="R42" i="51"/>
  <c r="R43" i="51" s="1"/>
  <c r="R44" i="51" s="1"/>
  <c r="R46" i="51" s="1"/>
  <c r="R65" i="51"/>
  <c r="R66" i="51" s="1"/>
  <c r="R68" i="51" s="1"/>
  <c r="F20" i="52"/>
  <c r="F21" i="52" s="1"/>
  <c r="R20" i="52"/>
  <c r="R21" i="52" s="1"/>
  <c r="F42" i="52"/>
  <c r="F43" i="52"/>
  <c r="R42" i="52"/>
  <c r="R43" i="52"/>
  <c r="F64" i="52"/>
  <c r="F65" i="52" s="1"/>
  <c r="R64" i="52"/>
  <c r="R65" i="52" s="1"/>
  <c r="L20" i="52"/>
  <c r="L21" i="52"/>
  <c r="L42" i="52"/>
  <c r="L43" i="52" s="1"/>
  <c r="L64" i="52"/>
  <c r="L65" i="52"/>
  <c r="R87" i="51" l="1"/>
  <c r="R88" i="51" s="1"/>
  <c r="R90" i="51" s="1"/>
  <c r="J28" i="35"/>
  <c r="L15" i="50"/>
  <c r="L14" i="50"/>
  <c r="L16" i="50" s="1"/>
  <c r="M95" i="37"/>
  <c r="F15" i="50"/>
  <c r="F14" i="50"/>
  <c r="F8" i="50"/>
  <c r="F7" i="50"/>
  <c r="Q27" i="35"/>
  <c r="J27" i="35"/>
  <c r="K27" i="35" s="1"/>
  <c r="H190" i="25"/>
  <c r="M162" i="37"/>
  <c r="M163" i="37"/>
  <c r="M161" i="37"/>
  <c r="G193" i="25"/>
  <c r="G194" i="25" s="1"/>
  <c r="G195" i="25" s="1"/>
  <c r="I186" i="25"/>
  <c r="H186" i="25"/>
  <c r="G186" i="25"/>
  <c r="H185" i="25"/>
  <c r="I185" i="25" s="1"/>
  <c r="G185" i="25"/>
  <c r="I184" i="25"/>
  <c r="H184" i="25"/>
  <c r="G184" i="25"/>
  <c r="H183" i="25"/>
  <c r="I183" i="25" s="1"/>
  <c r="G183" i="25"/>
  <c r="L182" i="25"/>
  <c r="H182" i="25"/>
  <c r="I182" i="25" s="1"/>
  <c r="G182" i="25"/>
  <c r="H181" i="25"/>
  <c r="I181" i="25" s="1"/>
  <c r="G181" i="25"/>
  <c r="I180" i="25"/>
  <c r="H180" i="25"/>
  <c r="G180" i="25"/>
  <c r="F16" i="50" l="1"/>
  <c r="F27" i="35" s="1"/>
  <c r="K28" i="35"/>
  <c r="L28" i="35"/>
  <c r="L27" i="35"/>
  <c r="F28" i="35"/>
  <c r="G187" i="25"/>
  <c r="L181" i="25"/>
  <c r="G188" i="25"/>
  <c r="G189" i="25" s="1"/>
  <c r="G190" i="25" s="1"/>
  <c r="G196" i="25" l="1"/>
  <c r="G191" i="25"/>
  <c r="R40" i="50" l="1"/>
  <c r="R39" i="50"/>
  <c r="R38" i="50"/>
  <c r="R36" i="50"/>
  <c r="R34" i="50"/>
  <c r="R33" i="50"/>
  <c r="R32" i="50"/>
  <c r="R31" i="50"/>
  <c r="R30" i="50"/>
  <c r="R29" i="50"/>
  <c r="R28" i="50"/>
  <c r="R27" i="50"/>
  <c r="L33" i="50"/>
  <c r="L32" i="50"/>
  <c r="L31" i="50"/>
  <c r="L30" i="50"/>
  <c r="L29" i="50"/>
  <c r="L28" i="50"/>
  <c r="L27" i="50"/>
  <c r="L26" i="50"/>
  <c r="F33" i="50"/>
  <c r="F32" i="50"/>
  <c r="F31" i="50"/>
  <c r="F30" i="50"/>
  <c r="F29" i="50"/>
  <c r="F28" i="50"/>
  <c r="F27" i="50"/>
  <c r="F26" i="50"/>
  <c r="R11" i="50"/>
  <c r="L11" i="50"/>
  <c r="F11" i="50"/>
  <c r="R10" i="50"/>
  <c r="L10" i="50"/>
  <c r="F10" i="50"/>
  <c r="R9" i="50"/>
  <c r="L9" i="50"/>
  <c r="F9" i="50"/>
  <c r="R8" i="50"/>
  <c r="L8" i="50"/>
  <c r="R7" i="50"/>
  <c r="L7" i="50"/>
  <c r="R6" i="50"/>
  <c r="L6" i="50"/>
  <c r="F6" i="50"/>
  <c r="R5" i="50"/>
  <c r="L5" i="50"/>
  <c r="F5" i="50"/>
  <c r="R4" i="50"/>
  <c r="L4" i="50"/>
  <c r="L12" i="50" s="1"/>
  <c r="L18" i="50" s="1"/>
  <c r="F4" i="50"/>
  <c r="R13" i="50" l="1"/>
  <c r="R19" i="50" s="1"/>
  <c r="L35" i="50"/>
  <c r="L41" i="50" s="1"/>
  <c r="F12" i="50"/>
  <c r="F18" i="50" s="1"/>
  <c r="F19" i="50" s="1"/>
  <c r="F20" i="50" s="1"/>
  <c r="D27" i="35" s="1"/>
  <c r="M27" i="35" s="1"/>
  <c r="N27" i="35" s="1"/>
  <c r="R42" i="50"/>
  <c r="R43" i="50" s="1"/>
  <c r="R44" i="50" s="1"/>
  <c r="L19" i="50"/>
  <c r="L20" i="50" s="1"/>
  <c r="D28" i="35" s="1"/>
  <c r="M28" i="35" s="1"/>
  <c r="N28" i="35" s="1"/>
  <c r="F42" i="50"/>
  <c r="F43" i="50" s="1"/>
  <c r="D30" i="35" s="1"/>
  <c r="M30" i="35" s="1"/>
  <c r="N30" i="35" s="1"/>
  <c r="R20" i="50"/>
  <c r="R21" i="50" s="1"/>
  <c r="D29" i="35" s="1"/>
  <c r="M29" i="35" s="1"/>
  <c r="N29" i="35" s="1"/>
  <c r="L42" i="50"/>
  <c r="L43" i="50" s="1"/>
  <c r="E30" i="35" l="1"/>
  <c r="G30" i="35"/>
  <c r="E29" i="35"/>
  <c r="G29" i="35"/>
  <c r="E28" i="35"/>
  <c r="G28" i="35"/>
  <c r="E27" i="35"/>
  <c r="G27" i="35"/>
  <c r="D17" i="35"/>
  <c r="G17" i="35" s="1"/>
  <c r="J17" i="35"/>
  <c r="K17" i="35" s="1"/>
  <c r="Q17" i="35"/>
  <c r="P17" i="35" l="1"/>
  <c r="N17" i="35"/>
  <c r="L17" i="35"/>
  <c r="H30" i="35"/>
  <c r="O30" i="35"/>
  <c r="P30" i="35" s="1"/>
  <c r="H28" i="35"/>
  <c r="O28" i="35"/>
  <c r="P28" i="35" s="1"/>
  <c r="H29" i="35"/>
  <c r="O29" i="35"/>
  <c r="P29" i="35" s="1"/>
  <c r="H27" i="35"/>
  <c r="O27" i="35"/>
  <c r="P27" i="35" s="1"/>
  <c r="E17" i="35"/>
  <c r="H17" i="35"/>
  <c r="I17" i="35" s="1"/>
  <c r="E39" i="35"/>
  <c r="H39" i="35" s="1"/>
  <c r="L18" i="44" l="1"/>
  <c r="L17" i="44"/>
  <c r="F15" i="35" s="1"/>
  <c r="AD18" i="44"/>
  <c r="AD17" i="44"/>
  <c r="AD19" i="44" s="1"/>
  <c r="F12" i="35" s="1"/>
  <c r="G12" i="35" s="1"/>
  <c r="H12" i="35" s="1"/>
  <c r="X19" i="44"/>
  <c r="X18" i="44"/>
  <c r="F13" i="35" s="1"/>
  <c r="R19" i="44"/>
  <c r="R18" i="44"/>
  <c r="F14" i="35" s="1"/>
  <c r="F19" i="44"/>
  <c r="F18" i="44"/>
  <c r="F16" i="35" s="1"/>
  <c r="K24" i="42"/>
  <c r="J24" i="42"/>
  <c r="J11" i="35"/>
  <c r="K11" i="35" s="1"/>
  <c r="J10" i="35"/>
  <c r="L10" i="35" s="1"/>
  <c r="Q11" i="35"/>
  <c r="M88" i="37"/>
  <c r="M155" i="37"/>
  <c r="Q10" i="35"/>
  <c r="M15" i="37"/>
  <c r="M87" i="37"/>
  <c r="M135" i="37"/>
  <c r="X38" i="48"/>
  <c r="X37" i="48"/>
  <c r="X34" i="48"/>
  <c r="X33" i="48"/>
  <c r="X32" i="48"/>
  <c r="X31" i="48"/>
  <c r="X30" i="48"/>
  <c r="X29" i="48"/>
  <c r="X28" i="48"/>
  <c r="X27" i="48"/>
  <c r="X26" i="48"/>
  <c r="X40" i="48" s="1"/>
  <c r="R38" i="48"/>
  <c r="R37" i="48"/>
  <c r="R36" i="48"/>
  <c r="R34" i="48"/>
  <c r="R33" i="48"/>
  <c r="R32" i="48"/>
  <c r="R31" i="48"/>
  <c r="R30" i="48"/>
  <c r="R29" i="48"/>
  <c r="R28" i="48"/>
  <c r="R27" i="48"/>
  <c r="R26" i="48"/>
  <c r="R40" i="48" s="1"/>
  <c r="L38" i="48"/>
  <c r="L37" i="48"/>
  <c r="L36" i="48"/>
  <c r="L34" i="48"/>
  <c r="L33" i="48"/>
  <c r="L32" i="48"/>
  <c r="L31" i="48"/>
  <c r="L30" i="48"/>
  <c r="L29" i="48"/>
  <c r="L28" i="48"/>
  <c r="L27" i="48"/>
  <c r="L26" i="48"/>
  <c r="F38" i="48"/>
  <c r="F37" i="48"/>
  <c r="F36" i="48"/>
  <c r="F34" i="48"/>
  <c r="F33" i="48"/>
  <c r="F32" i="48"/>
  <c r="F31" i="48"/>
  <c r="F30" i="48"/>
  <c r="F29" i="48"/>
  <c r="F28" i="48"/>
  <c r="F27" i="48"/>
  <c r="F26" i="48"/>
  <c r="Q9" i="35"/>
  <c r="J9" i="35"/>
  <c r="L9" i="35" s="1"/>
  <c r="D9" i="35"/>
  <c r="Q8" i="35"/>
  <c r="J8" i="35"/>
  <c r="L8" i="35" s="1"/>
  <c r="X16" i="48"/>
  <c r="X15" i="48"/>
  <c r="X12" i="48"/>
  <c r="X11" i="48"/>
  <c r="X10" i="48"/>
  <c r="X9" i="48"/>
  <c r="X8" i="48"/>
  <c r="X7" i="48"/>
  <c r="X6" i="48"/>
  <c r="X5" i="48"/>
  <c r="J7" i="35"/>
  <c r="R16" i="48"/>
  <c r="R15" i="48"/>
  <c r="R14" i="48"/>
  <c r="R12" i="48"/>
  <c r="R11" i="48"/>
  <c r="R10" i="48"/>
  <c r="R9" i="48"/>
  <c r="R8" i="48"/>
  <c r="R7" i="48"/>
  <c r="R6" i="48"/>
  <c r="R5" i="48"/>
  <c r="R4" i="48"/>
  <c r="L16" i="48"/>
  <c r="L15" i="48"/>
  <c r="L14" i="48"/>
  <c r="L12" i="48"/>
  <c r="L11" i="48"/>
  <c r="L10" i="48"/>
  <c r="L9" i="48"/>
  <c r="L8" i="48"/>
  <c r="L7" i="48"/>
  <c r="L6" i="48"/>
  <c r="L5" i="48"/>
  <c r="L4" i="48"/>
  <c r="F16" i="48"/>
  <c r="F15" i="48"/>
  <c r="F14" i="48"/>
  <c r="F12" i="48"/>
  <c r="F11" i="48"/>
  <c r="F10" i="48"/>
  <c r="F9" i="48"/>
  <c r="F8" i="48"/>
  <c r="F7" i="48"/>
  <c r="F6" i="48"/>
  <c r="F5" i="48"/>
  <c r="F4" i="48"/>
  <c r="Q26" i="35"/>
  <c r="Q25" i="35"/>
  <c r="J26" i="35"/>
  <c r="K26" i="35" s="1"/>
  <c r="D26" i="35"/>
  <c r="J25" i="35"/>
  <c r="K25" i="35" s="1"/>
  <c r="D25" i="35"/>
  <c r="L22" i="47"/>
  <c r="M160" i="37"/>
  <c r="M149" i="37"/>
  <c r="F22" i="47"/>
  <c r="M159" i="37"/>
  <c r="M82" i="37"/>
  <c r="M27" i="37"/>
  <c r="M26" i="37"/>
  <c r="R16" i="47"/>
  <c r="L16" i="47"/>
  <c r="F16" i="47"/>
  <c r="R15" i="47"/>
  <c r="L15" i="47"/>
  <c r="F15" i="47"/>
  <c r="R14" i="47"/>
  <c r="L14" i="47"/>
  <c r="F14" i="47"/>
  <c r="R12" i="47"/>
  <c r="L12" i="47"/>
  <c r="F12" i="47"/>
  <c r="R11" i="47"/>
  <c r="L11" i="47"/>
  <c r="F11" i="47"/>
  <c r="R10" i="47"/>
  <c r="L10" i="47"/>
  <c r="F10" i="47"/>
  <c r="R9" i="47"/>
  <c r="L9" i="47"/>
  <c r="F9" i="47"/>
  <c r="R8" i="47"/>
  <c r="L8" i="47"/>
  <c r="F8" i="47"/>
  <c r="R7" i="47"/>
  <c r="L7" i="47"/>
  <c r="F7" i="47"/>
  <c r="R6" i="47"/>
  <c r="L6" i="47"/>
  <c r="F6" i="47"/>
  <c r="R5" i="47"/>
  <c r="L5" i="47"/>
  <c r="F5" i="47"/>
  <c r="R4" i="47"/>
  <c r="R18" i="47" s="1"/>
  <c r="L4" i="47"/>
  <c r="F4" i="47"/>
  <c r="Q24" i="35"/>
  <c r="Q23" i="35"/>
  <c r="Q22" i="35"/>
  <c r="Q21" i="35"/>
  <c r="Q20" i="35"/>
  <c r="Q19" i="35"/>
  <c r="Q18" i="35"/>
  <c r="J24" i="35"/>
  <c r="K24" i="35" s="1"/>
  <c r="D24" i="35"/>
  <c r="J23" i="35"/>
  <c r="D23" i="35"/>
  <c r="J22" i="35"/>
  <c r="L22" i="35" s="1"/>
  <c r="D22" i="35"/>
  <c r="R16" i="46"/>
  <c r="R15" i="46"/>
  <c r="R14" i="46"/>
  <c r="R12" i="46"/>
  <c r="R11" i="46"/>
  <c r="R10" i="46"/>
  <c r="R9" i="46"/>
  <c r="R8" i="46"/>
  <c r="R7" i="46"/>
  <c r="R6" i="46"/>
  <c r="R5" i="46"/>
  <c r="R4" i="46"/>
  <c r="R18" i="46" s="1"/>
  <c r="L16" i="46"/>
  <c r="L15" i="46"/>
  <c r="L14" i="46"/>
  <c r="L12" i="46"/>
  <c r="L11" i="46"/>
  <c r="L10" i="46"/>
  <c r="L9" i="46"/>
  <c r="L8" i="46"/>
  <c r="L7" i="46"/>
  <c r="L6" i="46"/>
  <c r="L5" i="46"/>
  <c r="L4" i="46"/>
  <c r="L18" i="46" s="1"/>
  <c r="F16" i="46"/>
  <c r="F15" i="46"/>
  <c r="F14" i="46"/>
  <c r="F12" i="46"/>
  <c r="F11" i="46"/>
  <c r="F10" i="46"/>
  <c r="F9" i="46"/>
  <c r="F8" i="46"/>
  <c r="F7" i="46"/>
  <c r="F6" i="46"/>
  <c r="F5" i="46"/>
  <c r="F4" i="46"/>
  <c r="L83" i="25"/>
  <c r="M133" i="37"/>
  <c r="J4" i="35"/>
  <c r="J3" i="35"/>
  <c r="R11" i="45"/>
  <c r="R10" i="45"/>
  <c r="R9" i="45"/>
  <c r="R7" i="45"/>
  <c r="R6" i="45"/>
  <c r="R5" i="45"/>
  <c r="R4" i="45"/>
  <c r="J2" i="35"/>
  <c r="K2" i="35" s="1"/>
  <c r="L11" i="45"/>
  <c r="L10" i="45"/>
  <c r="L9" i="45"/>
  <c r="L7" i="45"/>
  <c r="L6" i="45"/>
  <c r="L5" i="45"/>
  <c r="L4" i="45"/>
  <c r="F11" i="45"/>
  <c r="F10" i="45"/>
  <c r="F9" i="45"/>
  <c r="F7" i="45"/>
  <c r="F13" i="45" s="1"/>
  <c r="F6" i="45"/>
  <c r="F5" i="45"/>
  <c r="F4" i="45"/>
  <c r="J13" i="35"/>
  <c r="K13" i="35" s="1"/>
  <c r="J14" i="35"/>
  <c r="AD11" i="44"/>
  <c r="AD10" i="44"/>
  <c r="AD9" i="44"/>
  <c r="AD8" i="44"/>
  <c r="AD7" i="44"/>
  <c r="AD6" i="44"/>
  <c r="AD5" i="44"/>
  <c r="AD4" i="44"/>
  <c r="X15" i="44"/>
  <c r="X11" i="44"/>
  <c r="X10" i="44"/>
  <c r="X9" i="44"/>
  <c r="X8" i="44"/>
  <c r="X7" i="44"/>
  <c r="X6" i="44"/>
  <c r="X5" i="44"/>
  <c r="X4" i="44"/>
  <c r="J15" i="35"/>
  <c r="J16" i="35"/>
  <c r="L16" i="35" s="1"/>
  <c r="R15" i="44"/>
  <c r="R11" i="44"/>
  <c r="R10" i="44"/>
  <c r="R9" i="44"/>
  <c r="R8" i="44"/>
  <c r="R7" i="44"/>
  <c r="R6" i="44"/>
  <c r="R5" i="44"/>
  <c r="R4" i="44"/>
  <c r="L14" i="44"/>
  <c r="L11" i="44"/>
  <c r="L10" i="44"/>
  <c r="L9" i="44"/>
  <c r="L8" i="44"/>
  <c r="L7" i="44"/>
  <c r="L6" i="44"/>
  <c r="L5" i="44"/>
  <c r="L4" i="44"/>
  <c r="F10" i="44"/>
  <c r="F11" i="44"/>
  <c r="F15" i="44"/>
  <c r="F9" i="44"/>
  <c r="F8" i="44"/>
  <c r="F7" i="44"/>
  <c r="F6" i="44"/>
  <c r="F5" i="44"/>
  <c r="F4" i="44"/>
  <c r="F18" i="43"/>
  <c r="F13" i="43"/>
  <c r="F12" i="43"/>
  <c r="F11" i="43"/>
  <c r="F9" i="43"/>
  <c r="F8" i="43"/>
  <c r="F7" i="43"/>
  <c r="F6" i="43"/>
  <c r="F5" i="43"/>
  <c r="F4" i="43"/>
  <c r="K20" i="35"/>
  <c r="L20" i="35"/>
  <c r="AD9" i="43"/>
  <c r="AD8" i="43"/>
  <c r="AD7" i="43"/>
  <c r="AD6" i="43"/>
  <c r="AD5" i="43"/>
  <c r="AD4" i="43"/>
  <c r="J19" i="35"/>
  <c r="X9" i="43"/>
  <c r="X8" i="43"/>
  <c r="X7" i="43"/>
  <c r="X6" i="43"/>
  <c r="X5" i="43"/>
  <c r="X4" i="43"/>
  <c r="J18" i="35"/>
  <c r="J21" i="35"/>
  <c r="R9" i="43"/>
  <c r="R8" i="43"/>
  <c r="R7" i="43"/>
  <c r="R6" i="43"/>
  <c r="R5" i="43"/>
  <c r="R4" i="43"/>
  <c r="L12" i="43"/>
  <c r="L5" i="43"/>
  <c r="L6" i="43"/>
  <c r="L7" i="43"/>
  <c r="L8" i="43"/>
  <c r="L9" i="43"/>
  <c r="L4" i="43"/>
  <c r="H24" i="42"/>
  <c r="M24" i="35" l="1"/>
  <c r="N24" i="35" s="1"/>
  <c r="P11" i="35"/>
  <c r="N11" i="35"/>
  <c r="P2" i="35"/>
  <c r="N2" i="35"/>
  <c r="M25" i="35"/>
  <c r="N25" i="35" s="1"/>
  <c r="M26" i="35"/>
  <c r="N26" i="35" s="1"/>
  <c r="L22" i="44"/>
  <c r="X23" i="44"/>
  <c r="X24" i="44" s="1"/>
  <c r="E13" i="35" s="1"/>
  <c r="R13" i="45"/>
  <c r="L13" i="45"/>
  <c r="L40" i="48"/>
  <c r="L41" i="48" s="1"/>
  <c r="L42" i="48" s="1"/>
  <c r="G23" i="35"/>
  <c r="E24" i="35"/>
  <c r="G25" i="35"/>
  <c r="H25" i="35" s="1"/>
  <c r="E25" i="35"/>
  <c r="G26" i="35"/>
  <c r="H26" i="35" s="1"/>
  <c r="E26" i="35"/>
  <c r="F23" i="44"/>
  <c r="F24" i="44" s="1"/>
  <c r="AD22" i="44"/>
  <c r="AD23" i="44" s="1"/>
  <c r="L11" i="35"/>
  <c r="K10" i="35"/>
  <c r="F40" i="48"/>
  <c r="F41" i="48" s="1"/>
  <c r="F42" i="48" s="1"/>
  <c r="D11" i="35" s="1"/>
  <c r="K9" i="35"/>
  <c r="K8" i="35"/>
  <c r="G9" i="35"/>
  <c r="X18" i="48"/>
  <c r="X19" i="48" s="1"/>
  <c r="X20" i="48" s="1"/>
  <c r="D10" i="35" s="1"/>
  <c r="G10" i="35" s="1"/>
  <c r="X41" i="48"/>
  <c r="X42" i="48" s="1"/>
  <c r="R41" i="48"/>
  <c r="R42" i="48"/>
  <c r="L18" i="48"/>
  <c r="R18" i="48"/>
  <c r="R19" i="48" s="1"/>
  <c r="R20" i="48" s="1"/>
  <c r="D8" i="35" s="1"/>
  <c r="L19" i="48"/>
  <c r="L20" i="48" s="1"/>
  <c r="D7" i="35" s="1"/>
  <c r="F18" i="48"/>
  <c r="F19" i="48" s="1"/>
  <c r="F20" i="48" s="1"/>
  <c r="L24" i="35"/>
  <c r="G22" i="35"/>
  <c r="L26" i="35"/>
  <c r="L25" i="35"/>
  <c r="F18" i="47"/>
  <c r="L18" i="47"/>
  <c r="L19" i="47" s="1"/>
  <c r="L20" i="47" s="1"/>
  <c r="F19" i="47"/>
  <c r="F20" i="47" s="1"/>
  <c r="R19" i="47"/>
  <c r="R20" i="47" s="1"/>
  <c r="K23" i="35"/>
  <c r="L23" i="35"/>
  <c r="G24" i="35"/>
  <c r="H24" i="35" s="1"/>
  <c r="K22" i="35"/>
  <c r="R19" i="46"/>
  <c r="R20" i="46" s="1"/>
  <c r="L19" i="46"/>
  <c r="L20" i="46" s="1"/>
  <c r="F18" i="46"/>
  <c r="F19" i="46" s="1"/>
  <c r="F20" i="46" s="1"/>
  <c r="L14" i="45"/>
  <c r="L15" i="45" s="1"/>
  <c r="D3" i="35" s="1"/>
  <c r="R14" i="45"/>
  <c r="R15" i="45" s="1"/>
  <c r="D4" i="35" s="1"/>
  <c r="F14" i="45"/>
  <c r="F15" i="45" s="1"/>
  <c r="D2" i="35" s="1"/>
  <c r="R23" i="44"/>
  <c r="R24" i="44" s="1"/>
  <c r="F15" i="43"/>
  <c r="F16" i="43" s="1"/>
  <c r="F17" i="43" s="1"/>
  <c r="L19" i="35"/>
  <c r="K19" i="35"/>
  <c r="X15" i="43"/>
  <c r="AD15" i="43"/>
  <c r="AD16" i="43" s="1"/>
  <c r="AD17" i="43" s="1"/>
  <c r="D20" i="35" s="1"/>
  <c r="E20" i="35" s="1"/>
  <c r="L16" i="43"/>
  <c r="L17" i="43" s="1"/>
  <c r="D21" i="35" s="1"/>
  <c r="R15" i="43"/>
  <c r="R16" i="43" s="1"/>
  <c r="R17" i="43" s="1"/>
  <c r="D18" i="35" s="1"/>
  <c r="G27" i="42"/>
  <c r="G28" i="42" s="1"/>
  <c r="G29" i="42" s="1"/>
  <c r="I20" i="42"/>
  <c r="H20" i="42"/>
  <c r="G20" i="42"/>
  <c r="H19" i="42"/>
  <c r="I19" i="42" s="1"/>
  <c r="G19" i="42"/>
  <c r="I18" i="42"/>
  <c r="H18" i="42"/>
  <c r="G18" i="42"/>
  <c r="H17" i="42"/>
  <c r="I17" i="42" s="1"/>
  <c r="G17" i="42"/>
  <c r="I16" i="42"/>
  <c r="H16" i="42"/>
  <c r="G16" i="42"/>
  <c r="H15" i="42"/>
  <c r="I15" i="42" s="1"/>
  <c r="G15" i="42"/>
  <c r="L14" i="42"/>
  <c r="H14" i="42"/>
  <c r="I14" i="42" s="1"/>
  <c r="G14" i="42"/>
  <c r="H13" i="42"/>
  <c r="I13" i="42" s="1"/>
  <c r="G13" i="42"/>
  <c r="I12" i="42"/>
  <c r="L13" i="42" s="1"/>
  <c r="H12" i="42"/>
  <c r="G12" i="42"/>
  <c r="G21" i="42" s="1"/>
  <c r="M32" i="37"/>
  <c r="M14" i="37"/>
  <c r="G69" i="40"/>
  <c r="H69" i="40"/>
  <c r="I69" i="40" s="1"/>
  <c r="G70" i="40"/>
  <c r="G77" i="40" s="1"/>
  <c r="H70" i="40"/>
  <c r="I70" i="40"/>
  <c r="G71" i="40"/>
  <c r="H71" i="40"/>
  <c r="I71" i="40"/>
  <c r="L71" i="40"/>
  <c r="H72" i="40"/>
  <c r="I72" i="40"/>
  <c r="G73" i="40"/>
  <c r="H73" i="40"/>
  <c r="I73" i="40" s="1"/>
  <c r="G74" i="40"/>
  <c r="H74" i="40"/>
  <c r="I74" i="40"/>
  <c r="G75" i="40"/>
  <c r="H75" i="40"/>
  <c r="I75" i="40" s="1"/>
  <c r="G76" i="40"/>
  <c r="H76" i="40"/>
  <c r="I76" i="40"/>
  <c r="G83" i="40"/>
  <c r="G84" i="40" s="1"/>
  <c r="G85" i="40" s="1"/>
  <c r="G40" i="40"/>
  <c r="H40" i="40"/>
  <c r="I40" i="40" s="1"/>
  <c r="G41" i="40"/>
  <c r="H41" i="40"/>
  <c r="I41" i="40"/>
  <c r="G42" i="40"/>
  <c r="H42" i="40"/>
  <c r="I42" i="40" s="1"/>
  <c r="L42" i="40"/>
  <c r="G43" i="40"/>
  <c r="H43" i="40"/>
  <c r="I43" i="40" s="1"/>
  <c r="G44" i="40"/>
  <c r="H44" i="40"/>
  <c r="I44" i="40" s="1"/>
  <c r="G45" i="40"/>
  <c r="G49" i="40" s="1"/>
  <c r="G50" i="40" s="1"/>
  <c r="G51" i="40" s="1"/>
  <c r="G52" i="40" s="1"/>
  <c r="H45" i="40"/>
  <c r="I45" i="40"/>
  <c r="G46" i="40"/>
  <c r="H46" i="40"/>
  <c r="I46" i="40" s="1"/>
  <c r="G47" i="40"/>
  <c r="H47" i="40"/>
  <c r="I47" i="40" s="1"/>
  <c r="G48" i="40"/>
  <c r="H48" i="40"/>
  <c r="I48" i="40" s="1"/>
  <c r="G55" i="40"/>
  <c r="G56" i="40"/>
  <c r="G57" i="40" s="1"/>
  <c r="G27" i="40"/>
  <c r="G28" i="40" s="1"/>
  <c r="G29" i="40" s="1"/>
  <c r="H20" i="40"/>
  <c r="I20" i="40" s="1"/>
  <c r="G20" i="40"/>
  <c r="I19" i="40"/>
  <c r="H19" i="40"/>
  <c r="G19" i="40"/>
  <c r="H18" i="40"/>
  <c r="I18" i="40" s="1"/>
  <c r="G18" i="40"/>
  <c r="H17" i="40"/>
  <c r="I17" i="40" s="1"/>
  <c r="G17" i="40"/>
  <c r="H16" i="40"/>
  <c r="I16" i="40" s="1"/>
  <c r="G16" i="40"/>
  <c r="H15" i="40"/>
  <c r="I15" i="40" s="1"/>
  <c r="G15" i="40"/>
  <c r="H14" i="40"/>
  <c r="I14" i="40" s="1"/>
  <c r="G14" i="40"/>
  <c r="L13" i="40"/>
  <c r="H13" i="40"/>
  <c r="I13" i="40" s="1"/>
  <c r="G13" i="40"/>
  <c r="H12" i="40"/>
  <c r="I12" i="40" s="1"/>
  <c r="G12" i="40"/>
  <c r="H11" i="40"/>
  <c r="I11" i="40" s="1"/>
  <c r="G11" i="40"/>
  <c r="E22" i="35" l="1"/>
  <c r="M22" i="35"/>
  <c r="N22" i="35" s="1"/>
  <c r="O22" i="35"/>
  <c r="P22" i="35" s="1"/>
  <c r="E9" i="35"/>
  <c r="P9" i="35"/>
  <c r="N9" i="35"/>
  <c r="P10" i="35"/>
  <c r="N10" i="35"/>
  <c r="M20" i="35"/>
  <c r="N20" i="35" s="1"/>
  <c r="E23" i="35"/>
  <c r="M23" i="35"/>
  <c r="N23" i="35" s="1"/>
  <c r="O23" i="35"/>
  <c r="P23" i="35" s="1"/>
  <c r="P8" i="35"/>
  <c r="N8" i="35"/>
  <c r="O26" i="35"/>
  <c r="P26" i="35" s="1"/>
  <c r="O25" i="35"/>
  <c r="P25" i="35" s="1"/>
  <c r="O24" i="35"/>
  <c r="P24" i="35" s="1"/>
  <c r="G11" i="35"/>
  <c r="H11" i="35" s="1"/>
  <c r="I11" i="35" s="1"/>
  <c r="E11" i="35"/>
  <c r="H22" i="35"/>
  <c r="H23" i="35"/>
  <c r="E10" i="35"/>
  <c r="E8" i="35"/>
  <c r="H9" i="35"/>
  <c r="I9" i="35" s="1"/>
  <c r="H10" i="35"/>
  <c r="I10" i="35" s="1"/>
  <c r="M13" i="35"/>
  <c r="N13" i="35" s="1"/>
  <c r="L23" i="44"/>
  <c r="G8" i="35"/>
  <c r="G20" i="35"/>
  <c r="X16" i="43"/>
  <c r="X17" i="43" s="1"/>
  <c r="G22" i="42"/>
  <c r="G23" i="42" s="1"/>
  <c r="G24" i="42" s="1"/>
  <c r="L70" i="40"/>
  <c r="G78" i="40"/>
  <c r="G79" i="40" s="1"/>
  <c r="G80" i="40" s="1"/>
  <c r="G21" i="40"/>
  <c r="G22" i="40" s="1"/>
  <c r="G23" i="40" s="1"/>
  <c r="G24" i="40" s="1"/>
  <c r="L41" i="40"/>
  <c r="G53" i="40"/>
  <c r="G58" i="40"/>
  <c r="L12" i="40"/>
  <c r="H20" i="35" l="1"/>
  <c r="O20" i="35"/>
  <c r="P20" i="35" s="1"/>
  <c r="X22" i="43"/>
  <c r="D19" i="35"/>
  <c r="M19" i="35" s="1"/>
  <c r="N19" i="35" s="1"/>
  <c r="H8" i="35"/>
  <c r="I8" i="35" s="1"/>
  <c r="G30" i="42"/>
  <c r="G25" i="42"/>
  <c r="G81" i="40"/>
  <c r="G86" i="40"/>
  <c r="G30" i="40"/>
  <c r="G25" i="40"/>
  <c r="E19" i="35" l="1"/>
  <c r="G19" i="35"/>
  <c r="F12" i="39"/>
  <c r="H8" i="39"/>
  <c r="M57" i="37"/>
  <c r="M58" i="37"/>
  <c r="M59" i="37"/>
  <c r="M69" i="37"/>
  <c r="M68" i="37"/>
  <c r="M67" i="37"/>
  <c r="M66" i="37"/>
  <c r="M65" i="37"/>
  <c r="M64" i="37"/>
  <c r="M62" i="37"/>
  <c r="M63" i="37"/>
  <c r="M61" i="37"/>
  <c r="M60" i="37"/>
  <c r="M17" i="37"/>
  <c r="C12" i="39"/>
  <c r="M24" i="37"/>
  <c r="L21" i="35"/>
  <c r="K21" i="35"/>
  <c r="L18" i="35"/>
  <c r="K18" i="35"/>
  <c r="M76" i="37"/>
  <c r="M77" i="37"/>
  <c r="E18" i="35" l="1"/>
  <c r="M18" i="35"/>
  <c r="N18" i="35" s="1"/>
  <c r="E21" i="35"/>
  <c r="M21" i="35"/>
  <c r="N21" i="35" s="1"/>
  <c r="H19" i="35"/>
  <c r="O19" i="35"/>
  <c r="P19" i="35" s="1"/>
  <c r="M16" i="37"/>
  <c r="M29" i="37"/>
  <c r="M30" i="37"/>
  <c r="M33" i="37"/>
  <c r="M35" i="37"/>
  <c r="M36" i="37"/>
  <c r="M37" i="37"/>
  <c r="M38" i="37"/>
  <c r="M39" i="37"/>
  <c r="M41" i="37"/>
  <c r="M42" i="37"/>
  <c r="M44" i="37"/>
  <c r="M45" i="37"/>
  <c r="M47" i="37"/>
  <c r="M48" i="37"/>
  <c r="M49" i="37"/>
  <c r="M50" i="37"/>
  <c r="M51" i="37"/>
  <c r="M52" i="37"/>
  <c r="M54" i="37"/>
  <c r="M56" i="37"/>
  <c r="M72" i="37"/>
  <c r="M73" i="37"/>
  <c r="M74" i="37"/>
  <c r="M75" i="37"/>
  <c r="M80" i="37"/>
  <c r="M81" i="37"/>
  <c r="M83" i="37"/>
  <c r="M84" i="37"/>
  <c r="M85" i="37"/>
  <c r="M86" i="37"/>
  <c r="M89" i="37"/>
  <c r="M90" i="37"/>
  <c r="M91" i="37"/>
  <c r="M92" i="37"/>
  <c r="M93" i="37"/>
  <c r="M94" i="37"/>
  <c r="M96" i="37"/>
  <c r="M97" i="37"/>
  <c r="M101" i="37"/>
  <c r="M102" i="37"/>
  <c r="M103" i="37"/>
  <c r="M111" i="37"/>
  <c r="M112" i="37"/>
  <c r="M113" i="37"/>
  <c r="M114" i="37"/>
  <c r="M115" i="37"/>
  <c r="M116" i="37"/>
  <c r="M117" i="37"/>
  <c r="M118" i="37"/>
  <c r="M119" i="37"/>
  <c r="M120" i="37"/>
  <c r="M121" i="37"/>
  <c r="M122" i="37"/>
  <c r="M123" i="37"/>
  <c r="M124" i="37"/>
  <c r="M125" i="37"/>
  <c r="M126" i="37"/>
  <c r="M127" i="37"/>
  <c r="M128" i="37"/>
  <c r="M129" i="37"/>
  <c r="M130" i="37"/>
  <c r="M131" i="37"/>
  <c r="M132" i="37"/>
  <c r="M134" i="37"/>
  <c r="M136" i="37"/>
  <c r="M137" i="37"/>
  <c r="M138" i="37"/>
  <c r="M139" i="37"/>
  <c r="M140" i="37"/>
  <c r="M141" i="37"/>
  <c r="M142" i="37"/>
  <c r="M143" i="37"/>
  <c r="M144" i="37"/>
  <c r="M4" i="37"/>
  <c r="M5" i="37"/>
  <c r="M6" i="37"/>
  <c r="M7" i="37"/>
  <c r="M8" i="37"/>
  <c r="M11" i="37"/>
  <c r="M12" i="37"/>
  <c r="M13" i="37"/>
  <c r="M18" i="37"/>
  <c r="M19" i="37"/>
  <c r="G18" i="35" l="1"/>
  <c r="O18" i="35" s="1"/>
  <c r="P18" i="35" s="1"/>
  <c r="Q12" i="35"/>
  <c r="Q13" i="35"/>
  <c r="Q14" i="35"/>
  <c r="Q15" i="35"/>
  <c r="Q16" i="35"/>
  <c r="G39" i="35"/>
  <c r="I39" i="35"/>
  <c r="Q39" i="35"/>
  <c r="G20" i="34"/>
  <c r="G28" i="30"/>
  <c r="G61" i="30"/>
  <c r="H18" i="35" l="1"/>
  <c r="I18" i="35" s="1"/>
  <c r="G21" i="35"/>
  <c r="H21" i="35" l="1"/>
  <c r="I21" i="35" s="1"/>
  <c r="O21" i="35"/>
  <c r="P21" i="35" s="1"/>
  <c r="Q3" i="35"/>
  <c r="Q4" i="35"/>
  <c r="Q5" i="35"/>
  <c r="Q6" i="35"/>
  <c r="Q7" i="35"/>
  <c r="L2" i="35"/>
  <c r="Q2" i="35"/>
  <c r="G242" i="22"/>
  <c r="G249" i="22" s="1"/>
  <c r="G250" i="22" s="1"/>
  <c r="H242" i="22"/>
  <c r="I242" i="22"/>
  <c r="G243" i="22"/>
  <c r="H243" i="22"/>
  <c r="I243" i="22" s="1"/>
  <c r="G244" i="22"/>
  <c r="H244" i="22"/>
  <c r="I244" i="22" s="1"/>
  <c r="L244" i="22"/>
  <c r="G245" i="22"/>
  <c r="H245" i="22"/>
  <c r="I245" i="22" s="1"/>
  <c r="G246" i="22"/>
  <c r="H246" i="22"/>
  <c r="I246" i="22" s="1"/>
  <c r="G247" i="22"/>
  <c r="H247" i="22"/>
  <c r="I247" i="22"/>
  <c r="G248" i="22"/>
  <c r="H248" i="22"/>
  <c r="I248" i="22" s="1"/>
  <c r="G256" i="22"/>
  <c r="G257" i="22" s="1"/>
  <c r="G166" i="25"/>
  <c r="G167" i="25" s="1"/>
  <c r="G168" i="25" s="1"/>
  <c r="I159" i="25"/>
  <c r="H159" i="25"/>
  <c r="G159" i="25"/>
  <c r="H158" i="25"/>
  <c r="I158" i="25" s="1"/>
  <c r="G158" i="25"/>
  <c r="H157" i="25"/>
  <c r="I157" i="25" s="1"/>
  <c r="G157" i="25"/>
  <c r="H156" i="25"/>
  <c r="I156" i="25" s="1"/>
  <c r="G156" i="25"/>
  <c r="L155" i="25"/>
  <c r="H155" i="25"/>
  <c r="I155" i="25" s="1"/>
  <c r="G155" i="25"/>
  <c r="H154" i="25"/>
  <c r="I154" i="25" s="1"/>
  <c r="G154" i="25"/>
  <c r="H153" i="25"/>
  <c r="I153" i="25" s="1"/>
  <c r="G153" i="25"/>
  <c r="G139" i="25"/>
  <c r="G140" i="25" s="1"/>
  <c r="G141" i="25" s="1"/>
  <c r="H141" i="25" s="1"/>
  <c r="H132" i="25"/>
  <c r="I132" i="25" s="1"/>
  <c r="G132" i="25"/>
  <c r="H131" i="25"/>
  <c r="I131" i="25" s="1"/>
  <c r="G131" i="25"/>
  <c r="H130" i="25"/>
  <c r="I130" i="25" s="1"/>
  <c r="G130" i="25"/>
  <c r="L129" i="25"/>
  <c r="H129" i="25"/>
  <c r="I129" i="25" s="1"/>
  <c r="G129" i="25"/>
  <c r="I128" i="25"/>
  <c r="H128" i="25"/>
  <c r="G128" i="25"/>
  <c r="H127" i="25"/>
  <c r="I127" i="25" s="1"/>
  <c r="G127" i="25"/>
  <c r="G133" i="25" s="1"/>
  <c r="G113" i="25"/>
  <c r="G114" i="25" s="1"/>
  <c r="G115" i="25" s="1"/>
  <c r="H106" i="25"/>
  <c r="I106" i="25" s="1"/>
  <c r="G106" i="25"/>
  <c r="I105" i="25"/>
  <c r="H105" i="25"/>
  <c r="G105" i="25"/>
  <c r="H104" i="25"/>
  <c r="I104" i="25" s="1"/>
  <c r="G104" i="25"/>
  <c r="H103" i="25"/>
  <c r="I103" i="25" s="1"/>
  <c r="G103" i="25"/>
  <c r="L102" i="25"/>
  <c r="H101" i="25"/>
  <c r="I101" i="25" s="1"/>
  <c r="G101" i="25"/>
  <c r="H100" i="25"/>
  <c r="I100" i="25" s="1"/>
  <c r="G100" i="25"/>
  <c r="G228" i="22"/>
  <c r="G229" i="22" s="1"/>
  <c r="G230" i="22" s="1"/>
  <c r="H221" i="22"/>
  <c r="I221" i="22" s="1"/>
  <c r="G221" i="22"/>
  <c r="H220" i="22"/>
  <c r="I220" i="22" s="1"/>
  <c r="G220" i="22"/>
  <c r="I219" i="22"/>
  <c r="H219" i="22"/>
  <c r="G219" i="22"/>
  <c r="L218" i="22"/>
  <c r="I218" i="22"/>
  <c r="H218" i="22"/>
  <c r="G218" i="22"/>
  <c r="H217" i="22"/>
  <c r="I217" i="22" s="1"/>
  <c r="G217" i="22"/>
  <c r="H216" i="22"/>
  <c r="I216" i="22" s="1"/>
  <c r="G216" i="22"/>
  <c r="G63" i="34"/>
  <c r="H63" i="34"/>
  <c r="I63" i="34" s="1"/>
  <c r="G64" i="34"/>
  <c r="H64" i="34"/>
  <c r="I64" i="34" s="1"/>
  <c r="G65" i="34"/>
  <c r="H65" i="34"/>
  <c r="I65" i="34"/>
  <c r="L65" i="34"/>
  <c r="G66" i="34"/>
  <c r="H66" i="34"/>
  <c r="I66" i="34"/>
  <c r="G67" i="34"/>
  <c r="H67" i="34"/>
  <c r="I67" i="34" s="1"/>
  <c r="G68" i="34"/>
  <c r="H68" i="34"/>
  <c r="I68" i="34" s="1"/>
  <c r="G75" i="34"/>
  <c r="G76" i="34" s="1"/>
  <c r="G77" i="34" s="1"/>
  <c r="G38" i="34"/>
  <c r="H38" i="34"/>
  <c r="I38" i="34" s="1"/>
  <c r="G39" i="34"/>
  <c r="H39" i="34"/>
  <c r="I39" i="34" s="1"/>
  <c r="G40" i="34"/>
  <c r="H40" i="34"/>
  <c r="I40" i="34"/>
  <c r="L40" i="34"/>
  <c r="G41" i="34"/>
  <c r="H41" i="34"/>
  <c r="I41" i="34"/>
  <c r="G42" i="34"/>
  <c r="H42" i="34"/>
  <c r="I42" i="34" s="1"/>
  <c r="G49" i="34"/>
  <c r="G50" i="34"/>
  <c r="G51" i="34" s="1"/>
  <c r="G203" i="22"/>
  <c r="G204" i="22" s="1"/>
  <c r="G202" i="22"/>
  <c r="I195" i="22"/>
  <c r="H195" i="22"/>
  <c r="G195" i="22"/>
  <c r="L193" i="22"/>
  <c r="H193" i="22"/>
  <c r="H192" i="22"/>
  <c r="H191" i="22"/>
  <c r="I191" i="22" s="1"/>
  <c r="L192" i="22" s="1"/>
  <c r="G191" i="22"/>
  <c r="G86" i="25"/>
  <c r="G87" i="25" s="1"/>
  <c r="G88" i="25" s="1"/>
  <c r="H79" i="25"/>
  <c r="I79" i="25" s="1"/>
  <c r="L74" i="25" s="1"/>
  <c r="G79" i="25"/>
  <c r="G80" i="25" s="1"/>
  <c r="H78" i="25"/>
  <c r="H77" i="25"/>
  <c r="H76" i="25"/>
  <c r="L75" i="25"/>
  <c r="H75" i="25"/>
  <c r="H74" i="25"/>
  <c r="H73" i="25"/>
  <c r="H165" i="22"/>
  <c r="H166" i="22"/>
  <c r="H167" i="22"/>
  <c r="L167" i="22"/>
  <c r="H168" i="22"/>
  <c r="H169" i="22"/>
  <c r="G170" i="22"/>
  <c r="G171" i="22" s="1"/>
  <c r="H170" i="22"/>
  <c r="I170" i="22" s="1"/>
  <c r="L166" i="22" s="1"/>
  <c r="G177" i="22"/>
  <c r="G178" i="22" s="1"/>
  <c r="G179" i="22" s="1"/>
  <c r="G154" i="22"/>
  <c r="G155" i="22" s="1"/>
  <c r="G156" i="22" s="1"/>
  <c r="H147" i="22"/>
  <c r="I147" i="22" s="1"/>
  <c r="G147" i="22"/>
  <c r="H146" i="22"/>
  <c r="I146" i="22" s="1"/>
  <c r="G146" i="22"/>
  <c r="L145" i="22"/>
  <c r="H145" i="22"/>
  <c r="I145" i="22" s="1"/>
  <c r="G145" i="22"/>
  <c r="H144" i="22"/>
  <c r="I144" i="22" s="1"/>
  <c r="G144" i="22"/>
  <c r="H143" i="22"/>
  <c r="I143" i="22" s="1"/>
  <c r="G143" i="22"/>
  <c r="G148" i="22" s="1"/>
  <c r="G60" i="25"/>
  <c r="G61" i="25" s="1"/>
  <c r="G59" i="25"/>
  <c r="H52" i="25"/>
  <c r="I52" i="25" s="1"/>
  <c r="G52" i="25"/>
  <c r="G53" i="25" s="1"/>
  <c r="H51" i="25"/>
  <c r="H50" i="25"/>
  <c r="H49" i="25"/>
  <c r="H48" i="25"/>
  <c r="I48" i="25" s="1"/>
  <c r="L47" i="25"/>
  <c r="H47" i="25"/>
  <c r="H46" i="25"/>
  <c r="H45" i="25"/>
  <c r="H118" i="22"/>
  <c r="H119" i="22"/>
  <c r="H120" i="22"/>
  <c r="L120" i="22"/>
  <c r="H121" i="22"/>
  <c r="G122" i="22"/>
  <c r="G123" i="22" s="1"/>
  <c r="H122" i="22"/>
  <c r="I122" i="22" s="1"/>
  <c r="L119" i="22" s="1"/>
  <c r="G129" i="22"/>
  <c r="G130" i="22" s="1"/>
  <c r="G131" i="22" s="1"/>
  <c r="H91" i="22"/>
  <c r="H92" i="22"/>
  <c r="H93" i="22"/>
  <c r="L93" i="22"/>
  <c r="H94" i="22"/>
  <c r="H95" i="22"/>
  <c r="H96" i="22"/>
  <c r="G97" i="22"/>
  <c r="G98" i="22" s="1"/>
  <c r="G99" i="22" s="1"/>
  <c r="H97" i="22"/>
  <c r="I97" i="22"/>
  <c r="L92" i="22" s="1"/>
  <c r="G104" i="22"/>
  <c r="G105" i="22" s="1"/>
  <c r="G106" i="22" s="1"/>
  <c r="G23" i="20"/>
  <c r="G24" i="20" s="1"/>
  <c r="G25" i="20" s="1"/>
  <c r="H16" i="20"/>
  <c r="I16" i="20" s="1"/>
  <c r="L14" i="20" s="1"/>
  <c r="G16" i="20"/>
  <c r="G17" i="20" s="1"/>
  <c r="L15" i="20"/>
  <c r="H15" i="20"/>
  <c r="H14" i="20"/>
  <c r="H13" i="20"/>
  <c r="G77" i="22"/>
  <c r="G78" i="22" s="1"/>
  <c r="G79" i="22" s="1"/>
  <c r="H70" i="22"/>
  <c r="I70" i="22" s="1"/>
  <c r="L67" i="22" s="1"/>
  <c r="G70" i="22"/>
  <c r="G71" i="22" s="1"/>
  <c r="H69" i="22"/>
  <c r="L68" i="22"/>
  <c r="H68" i="22"/>
  <c r="H67" i="22"/>
  <c r="H66" i="22"/>
  <c r="H43" i="22"/>
  <c r="H44" i="22"/>
  <c r="L44" i="22"/>
  <c r="H45" i="22"/>
  <c r="L45" i="22"/>
  <c r="H46" i="22"/>
  <c r="G47" i="22"/>
  <c r="G48" i="22" s="1"/>
  <c r="H47" i="22"/>
  <c r="I47" i="22" s="1"/>
  <c r="G54" i="22"/>
  <c r="G55" i="22" s="1"/>
  <c r="G56" i="22" s="1"/>
  <c r="G15" i="30"/>
  <c r="H13" i="34"/>
  <c r="I13" i="34" s="1"/>
  <c r="G33" i="30"/>
  <c r="G34" i="30" s="1"/>
  <c r="J5" i="35" s="1"/>
  <c r="H15" i="30"/>
  <c r="G66" i="30"/>
  <c r="H56" i="30"/>
  <c r="I56" i="30" s="1"/>
  <c r="H55" i="30"/>
  <c r="I55" i="30" s="1"/>
  <c r="G56" i="30"/>
  <c r="I54" i="30"/>
  <c r="H54" i="30"/>
  <c r="G55" i="30"/>
  <c r="H53" i="30"/>
  <c r="I53" i="30" s="1"/>
  <c r="G54" i="30"/>
  <c r="H52" i="30"/>
  <c r="I52" i="30" s="1"/>
  <c r="G53" i="30"/>
  <c r="H51" i="30"/>
  <c r="I51" i="30" s="1"/>
  <c r="G52" i="30"/>
  <c r="H50" i="30"/>
  <c r="I50" i="30" s="1"/>
  <c r="G51" i="30"/>
  <c r="G50" i="30"/>
  <c r="H48" i="30"/>
  <c r="I48" i="30" s="1"/>
  <c r="G49" i="30"/>
  <c r="L47" i="30"/>
  <c r="H47" i="30"/>
  <c r="I47" i="30" s="1"/>
  <c r="G48" i="30"/>
  <c r="H46" i="30"/>
  <c r="I46" i="30" s="1"/>
  <c r="G47" i="30"/>
  <c r="H45" i="30"/>
  <c r="F46" i="30"/>
  <c r="G46" i="30" s="1"/>
  <c r="L4" i="35"/>
  <c r="L3" i="35"/>
  <c r="G25" i="34"/>
  <c r="G26" i="34" s="1"/>
  <c r="K7" i="35" s="1"/>
  <c r="H16" i="34"/>
  <c r="I16" i="34" s="1"/>
  <c r="L15" i="34"/>
  <c r="H15" i="34"/>
  <c r="I15" i="34" s="1"/>
  <c r="G15" i="34"/>
  <c r="H14" i="34"/>
  <c r="I14" i="34" s="1"/>
  <c r="G14" i="34"/>
  <c r="G13" i="34"/>
  <c r="G30" i="25"/>
  <c r="G31" i="25" s="1"/>
  <c r="G32" i="25" s="1"/>
  <c r="H23" i="25"/>
  <c r="I23" i="25" s="1"/>
  <c r="G23" i="25"/>
  <c r="H22" i="25"/>
  <c r="I22" i="25" s="1"/>
  <c r="G22" i="25"/>
  <c r="H21" i="25"/>
  <c r="I21" i="25" s="1"/>
  <c r="G21" i="25"/>
  <c r="H20" i="25"/>
  <c r="I20" i="25" s="1"/>
  <c r="G20" i="25"/>
  <c r="H19" i="25"/>
  <c r="I19" i="25" s="1"/>
  <c r="G19" i="25"/>
  <c r="H18" i="25"/>
  <c r="I18" i="25" s="1"/>
  <c r="G18" i="25"/>
  <c r="H17" i="25"/>
  <c r="I17" i="25" s="1"/>
  <c r="G17" i="25"/>
  <c r="H16" i="25"/>
  <c r="I16" i="25" s="1"/>
  <c r="G16" i="25"/>
  <c r="L15" i="25"/>
  <c r="H15" i="25"/>
  <c r="I15" i="25" s="1"/>
  <c r="G15" i="25"/>
  <c r="H14" i="25"/>
  <c r="I14" i="25" s="1"/>
  <c r="G14" i="25"/>
  <c r="H13" i="25"/>
  <c r="I13" i="25" s="1"/>
  <c r="G13" i="25"/>
  <c r="E7" i="35" l="1"/>
  <c r="P7" i="35"/>
  <c r="N7" i="35"/>
  <c r="J39" i="35"/>
  <c r="G67" i="30"/>
  <c r="J6" i="35"/>
  <c r="L217" i="22"/>
  <c r="L101" i="25"/>
  <c r="G17" i="34"/>
  <c r="L46" i="25"/>
  <c r="G196" i="22"/>
  <c r="G197" i="22" s="1"/>
  <c r="G198" i="22" s="1"/>
  <c r="G199" i="22" s="1"/>
  <c r="G222" i="22"/>
  <c r="G107" i="25"/>
  <c r="G108" i="25" s="1"/>
  <c r="G109" i="25" s="1"/>
  <c r="G110" i="25" s="1"/>
  <c r="G160" i="25"/>
  <c r="L14" i="35"/>
  <c r="K14" i="35"/>
  <c r="E14" i="35" s="1"/>
  <c r="G43" i="34"/>
  <c r="G69" i="34"/>
  <c r="L64" i="34"/>
  <c r="L39" i="34"/>
  <c r="I45" i="30"/>
  <c r="G58" i="30"/>
  <c r="G59" i="30" s="1"/>
  <c r="G60" i="30" s="1"/>
  <c r="K4" i="35"/>
  <c r="K3" i="35"/>
  <c r="L7" i="35"/>
  <c r="L5" i="35"/>
  <c r="K5" i="35"/>
  <c r="E2" i="35"/>
  <c r="L243" i="22"/>
  <c r="G251" i="22"/>
  <c r="G252" i="22" s="1"/>
  <c r="G161" i="25"/>
  <c r="G162" i="25" s="1"/>
  <c r="G163" i="25" s="1"/>
  <c r="L154" i="25"/>
  <c r="G134" i="25"/>
  <c r="G135" i="25" s="1"/>
  <c r="G136" i="25" s="1"/>
  <c r="L128" i="25"/>
  <c r="G223" i="22"/>
  <c r="G224" i="22" s="1"/>
  <c r="G225" i="22" s="1"/>
  <c r="G70" i="34"/>
  <c r="G71" i="34" s="1"/>
  <c r="G72" i="34" s="1"/>
  <c r="G44" i="34"/>
  <c r="G45" i="34" s="1"/>
  <c r="G46" i="34" s="1"/>
  <c r="G81" i="25"/>
  <c r="G82" i="25" s="1"/>
  <c r="G83" i="25" s="1"/>
  <c r="G172" i="22"/>
  <c r="G173" i="22" s="1"/>
  <c r="G174" i="22" s="1"/>
  <c r="L144" i="22"/>
  <c r="G149" i="22"/>
  <c r="G150" i="22" s="1"/>
  <c r="G151" i="22" s="1"/>
  <c r="G54" i="25"/>
  <c r="G55" i="25" s="1"/>
  <c r="G56" i="25" s="1"/>
  <c r="G124" i="22"/>
  <c r="G125" i="22" s="1"/>
  <c r="G126" i="22" s="1"/>
  <c r="G100" i="22"/>
  <c r="G101" i="22" s="1"/>
  <c r="G18" i="20"/>
  <c r="G19" i="20" s="1"/>
  <c r="G20" i="20" s="1"/>
  <c r="G72" i="22"/>
  <c r="G73" i="22" s="1"/>
  <c r="G74" i="22" s="1"/>
  <c r="G24" i="25"/>
  <c r="G49" i="22"/>
  <c r="G50" i="22"/>
  <c r="G51" i="22" s="1"/>
  <c r="G18" i="34"/>
  <c r="G19" i="34" s="1"/>
  <c r="L14" i="34"/>
  <c r="L14" i="25"/>
  <c r="G25" i="25"/>
  <c r="G26" i="25" s="1"/>
  <c r="G27" i="25" s="1"/>
  <c r="P5" i="35" l="1"/>
  <c r="N5" i="35"/>
  <c r="E4" i="35"/>
  <c r="P4" i="35"/>
  <c r="N4" i="35"/>
  <c r="E3" i="35"/>
  <c r="P3" i="35"/>
  <c r="N3" i="35"/>
  <c r="M14" i="35"/>
  <c r="N14" i="35" s="1"/>
  <c r="K6" i="35"/>
  <c r="G4" i="35"/>
  <c r="G62" i="30"/>
  <c r="G68" i="30" s="1"/>
  <c r="D6" i="35"/>
  <c r="L39" i="35"/>
  <c r="K39" i="35"/>
  <c r="G21" i="34"/>
  <c r="L6" i="35"/>
  <c r="K16" i="35"/>
  <c r="E16" i="35" s="1"/>
  <c r="K15" i="35"/>
  <c r="E15" i="35" s="1"/>
  <c r="L15" i="35"/>
  <c r="L13" i="35"/>
  <c r="G258" i="22"/>
  <c r="G253" i="22"/>
  <c r="G169" i="25"/>
  <c r="G164" i="25"/>
  <c r="G142" i="25"/>
  <c r="G137" i="25"/>
  <c r="G116" i="25"/>
  <c r="G111" i="25"/>
  <c r="G231" i="22"/>
  <c r="G226" i="22"/>
  <c r="G73" i="34"/>
  <c r="G78" i="34"/>
  <c r="G47" i="34"/>
  <c r="G52" i="34"/>
  <c r="G205" i="22"/>
  <c r="G200" i="22"/>
  <c r="G89" i="25"/>
  <c r="G84" i="25"/>
  <c r="G180" i="22"/>
  <c r="G175" i="22"/>
  <c r="G157" i="22"/>
  <c r="G152" i="22"/>
  <c r="G62" i="25"/>
  <c r="G57" i="25"/>
  <c r="G127" i="22"/>
  <c r="G132" i="22"/>
  <c r="G102" i="22"/>
  <c r="G107" i="22"/>
  <c r="G26" i="20"/>
  <c r="G21" i="20"/>
  <c r="G80" i="22"/>
  <c r="G75" i="22"/>
  <c r="G52" i="22"/>
  <c r="G57" i="22"/>
  <c r="G63" i="30"/>
  <c r="G27" i="34"/>
  <c r="G22" i="34"/>
  <c r="G33" i="25"/>
  <c r="G28" i="25"/>
  <c r="P6" i="35" l="1"/>
  <c r="N6" i="35"/>
  <c r="E6" i="35"/>
  <c r="H4" i="35"/>
  <c r="I4" i="35" s="1"/>
  <c r="M15" i="35"/>
  <c r="N15" i="35" s="1"/>
  <c r="M16" i="35"/>
  <c r="N16" i="35" s="1"/>
  <c r="G7" i="35"/>
  <c r="G6" i="35"/>
  <c r="G16" i="35"/>
  <c r="G13" i="35"/>
  <c r="H13" i="35" s="1"/>
  <c r="I13" i="35" s="1"/>
  <c r="G14" i="35"/>
  <c r="H14" i="35" s="1"/>
  <c r="I14" i="35" s="1"/>
  <c r="H6" i="35" l="1"/>
  <c r="I6" i="35" s="1"/>
  <c r="H16" i="35"/>
  <c r="I16" i="35" s="1"/>
  <c r="H7" i="35"/>
  <c r="I7" i="35" s="1"/>
  <c r="O13" i="35"/>
  <c r="P13" i="35" s="1"/>
  <c r="O14" i="35"/>
  <c r="P14" i="35" s="1"/>
  <c r="O16" i="35"/>
  <c r="P16" i="35" s="1"/>
  <c r="G2" i="35"/>
  <c r="G15" i="35"/>
  <c r="H15" i="35" s="1"/>
  <c r="I15" i="35" s="1"/>
  <c r="G3" i="35"/>
  <c r="G16" i="30"/>
  <c r="G17" i="30"/>
  <c r="G20" i="30"/>
  <c r="G19" i="30"/>
  <c r="F13" i="30"/>
  <c r="G13" i="30" s="1"/>
  <c r="G14" i="30"/>
  <c r="H3" i="35" l="1"/>
  <c r="I3" i="35" s="1"/>
  <c r="H2" i="35"/>
  <c r="I2" i="35" s="1"/>
  <c r="O15" i="35"/>
  <c r="P15" i="35" s="1"/>
  <c r="H24" i="30"/>
  <c r="I24" i="30" s="1"/>
  <c r="H23" i="30"/>
  <c r="I23" i="30" s="1"/>
  <c r="G23" i="30"/>
  <c r="H22" i="30"/>
  <c r="I22" i="30" s="1"/>
  <c r="G22" i="30"/>
  <c r="H21" i="30"/>
  <c r="I21" i="30" s="1"/>
  <c r="G21" i="30"/>
  <c r="H20" i="30"/>
  <c r="I20" i="30" s="1"/>
  <c r="H19" i="30"/>
  <c r="I19" i="30" s="1"/>
  <c r="H18" i="30"/>
  <c r="I18" i="30" s="1"/>
  <c r="G18" i="30"/>
  <c r="H16" i="30"/>
  <c r="I16" i="30" s="1"/>
  <c r="L15" i="30"/>
  <c r="I15" i="30"/>
  <c r="H14" i="30"/>
  <c r="I14" i="30" s="1"/>
  <c r="H13" i="30"/>
  <c r="I13" i="30" s="1"/>
  <c r="G25" i="30" l="1"/>
  <c r="G26" i="30" s="1"/>
  <c r="G27" i="30" s="1"/>
  <c r="L14" i="30"/>
  <c r="D5" i="35" l="1"/>
  <c r="E5" i="35" s="1"/>
  <c r="G29" i="30"/>
  <c r="G29" i="22"/>
  <c r="G30" i="22" s="1"/>
  <c r="G31" i="22" s="1"/>
  <c r="H22" i="22"/>
  <c r="I22" i="22" s="1"/>
  <c r="G22" i="22"/>
  <c r="H21" i="22"/>
  <c r="H20" i="22"/>
  <c r="H19" i="22"/>
  <c r="H18" i="22"/>
  <c r="H17" i="22"/>
  <c r="H16" i="22"/>
  <c r="L15" i="22"/>
  <c r="H15" i="22"/>
  <c r="H14" i="22"/>
  <c r="H13" i="22"/>
  <c r="G35" i="30" l="1"/>
  <c r="G30" i="30"/>
  <c r="G5" i="35"/>
  <c r="G23" i="22"/>
  <c r="G24" i="22" s="1"/>
  <c r="L14" i="22"/>
  <c r="H5" i="35" l="1"/>
  <c r="I5" i="35" s="1"/>
  <c r="G25" i="22"/>
  <c r="G26" i="22" s="1"/>
  <c r="G27" i="22" s="1"/>
  <c r="N12" i="35" l="1"/>
  <c r="O12" i="35"/>
  <c r="G32" i="22"/>
  <c r="I12" i="35" l="1"/>
  <c r="P12" i="35"/>
  <c r="I49" i="30"/>
  <c r="L46" i="30" s="1"/>
</calcChain>
</file>

<file path=xl/sharedStrings.xml><?xml version="1.0" encoding="utf-8"?>
<sst xmlns="http://schemas.openxmlformats.org/spreadsheetml/2006/main" count="3988" uniqueCount="877">
  <si>
    <t xml:space="preserve">RECETA ESTANDAR </t>
  </si>
  <si>
    <t>PREPARACION</t>
  </si>
  <si>
    <t>FECHA:</t>
  </si>
  <si>
    <t>INGREDIENTES</t>
  </si>
  <si>
    <t>CANT.</t>
  </si>
  <si>
    <t>UNID.</t>
  </si>
  <si>
    <t>VALORES</t>
  </si>
  <si>
    <t>UNITARIO</t>
  </si>
  <si>
    <t>TOTAL</t>
  </si>
  <si>
    <t>TOTAL GRAMAJE</t>
  </si>
  <si>
    <t>COSTO POR INGREDIENTE</t>
  </si>
  <si>
    <t>TOTAL PARA EL SERVICIO</t>
  </si>
  <si>
    <t>gr</t>
  </si>
  <si>
    <t>COMENSALES</t>
  </si>
  <si>
    <t>MATERIAS PRIMAS</t>
  </si>
  <si>
    <t>COSTO TOTAL</t>
  </si>
  <si>
    <t>COSTO TOTAL DE LOS  INGREDIENTES</t>
  </si>
  <si>
    <t>MARGEN DE ERROR O VARIACION   10%</t>
  </si>
  <si>
    <t>COSTO TOTAL DE LA PREPARACION</t>
  </si>
  <si>
    <t>COSTO PORCION</t>
  </si>
  <si>
    <t>% COSTO MATERIA PRIMA ESTABLECIDA POR EL CENTRO</t>
  </si>
  <si>
    <t>PRECIO POTENCIAL DE VENTA</t>
  </si>
  <si>
    <t>impuesto al consumo 8%</t>
  </si>
  <si>
    <t>PRECIO DE VENTA</t>
  </si>
  <si>
    <t>PRECIO REAL DE VENTA</t>
  </si>
  <si>
    <t>% REAL DEL COSTO</t>
  </si>
  <si>
    <t xml:space="preserve">FETTUCINNI CON MILANESA DE POLLO </t>
  </si>
  <si>
    <t xml:space="preserve">fettucinni </t>
  </si>
  <si>
    <t xml:space="preserve">parmesano </t>
  </si>
  <si>
    <t xml:space="preserve">salsa </t>
  </si>
  <si>
    <t xml:space="preserve">milanesa de pollo </t>
  </si>
  <si>
    <t xml:space="preserve">pechuga de pollo </t>
  </si>
  <si>
    <t xml:space="preserve">harina </t>
  </si>
  <si>
    <t>agua</t>
  </si>
  <si>
    <t xml:space="preserve">salsa negra </t>
  </si>
  <si>
    <t xml:space="preserve">pasta de ajo </t>
  </si>
  <si>
    <t xml:space="preserve">panko </t>
  </si>
  <si>
    <t xml:space="preserve">SALSA CARBONARA </t>
  </si>
  <si>
    <t xml:space="preserve">tocineta </t>
  </si>
  <si>
    <t xml:space="preserve">crema de leche </t>
  </si>
  <si>
    <t xml:space="preserve">sal </t>
  </si>
  <si>
    <t xml:space="preserve">pimienta </t>
  </si>
  <si>
    <t xml:space="preserve">ajo </t>
  </si>
  <si>
    <t xml:space="preserve">SALSA NAPOLITANA </t>
  </si>
  <si>
    <t xml:space="preserve">napolitana </t>
  </si>
  <si>
    <t>parmesano</t>
  </si>
  <si>
    <t xml:space="preserve">genovesa </t>
  </si>
  <si>
    <t xml:space="preserve">SALSA AMATRICIANA </t>
  </si>
  <si>
    <t xml:space="preserve">tomate </t>
  </si>
  <si>
    <t xml:space="preserve">cebolla roja </t>
  </si>
  <si>
    <t xml:space="preserve">peperoncino </t>
  </si>
  <si>
    <t>genovesa</t>
  </si>
  <si>
    <t xml:space="preserve">PIERNA PERNIL ASADO </t>
  </si>
  <si>
    <t xml:space="preserve">pierna pernil </t>
  </si>
  <si>
    <t xml:space="preserve">ensalada </t>
  </si>
  <si>
    <t xml:space="preserve">papas al horno </t>
  </si>
  <si>
    <t xml:space="preserve">chuney piña </t>
  </si>
  <si>
    <t xml:space="preserve">15 gr </t>
  </si>
  <si>
    <t xml:space="preserve">romero </t>
  </si>
  <si>
    <t xml:space="preserve">gr </t>
  </si>
  <si>
    <t xml:space="preserve">ENSALDA FRESCA </t>
  </si>
  <si>
    <t xml:space="preserve">lechuga </t>
  </si>
  <si>
    <t xml:space="preserve">tomate cherry </t>
  </si>
  <si>
    <t xml:space="preserve">uchuva </t>
  </si>
  <si>
    <t xml:space="preserve">cebolla </t>
  </si>
  <si>
    <t xml:space="preserve">PAPAS AL HORNO </t>
  </si>
  <si>
    <t xml:space="preserve">lomitos de res </t>
  </si>
  <si>
    <t xml:space="preserve">salsa mignon </t>
  </si>
  <si>
    <t xml:space="preserve">cremoso de papa </t>
  </si>
  <si>
    <t xml:space="preserve">lomito de res </t>
  </si>
  <si>
    <t xml:space="preserve">pasat de ajo </t>
  </si>
  <si>
    <t>SALSA MIGNON</t>
  </si>
  <si>
    <t>champiñon</t>
  </si>
  <si>
    <t xml:space="preserve"> champiñon gourmet </t>
  </si>
  <si>
    <t xml:space="preserve">vino tinto </t>
  </si>
  <si>
    <t xml:space="preserve">CREMOSO DE PAPA  </t>
  </si>
  <si>
    <t xml:space="preserve">papa capira </t>
  </si>
  <si>
    <t xml:space="preserve">CORDON BLUE </t>
  </si>
  <si>
    <t xml:space="preserve">cordon blue </t>
  </si>
  <si>
    <t xml:space="preserve">salsa de mornay </t>
  </si>
  <si>
    <t xml:space="preserve">jamon </t>
  </si>
  <si>
    <t xml:space="preserve">queso </t>
  </si>
  <si>
    <t xml:space="preserve">mantequilla </t>
  </si>
  <si>
    <t xml:space="preserve">SALSA MORNAY   </t>
  </si>
  <si>
    <t xml:space="preserve">leche </t>
  </si>
  <si>
    <t xml:space="preserve">nuez moscada </t>
  </si>
  <si>
    <t>acompañamiento 1 (pure de papa)</t>
  </si>
  <si>
    <t>acompañamiento 2 ( pasta )</t>
  </si>
  <si>
    <t xml:space="preserve">milanesa de cerdo </t>
  </si>
  <si>
    <t xml:space="preserve">arroz blanco </t>
  </si>
  <si>
    <t xml:space="preserve">ensalda fresca </t>
  </si>
  <si>
    <t xml:space="preserve">MILANESA DE CERDO  </t>
  </si>
  <si>
    <t xml:space="preserve">brazo de cerdo </t>
  </si>
  <si>
    <t xml:space="preserve">agua </t>
  </si>
  <si>
    <t xml:space="preserve">ARROZ BLANCO </t>
  </si>
  <si>
    <t xml:space="preserve">arroz </t>
  </si>
  <si>
    <t xml:space="preserve">aceite </t>
  </si>
  <si>
    <t xml:space="preserve">FILETE DE SALMON CON VERDURAS Y PAPAS AL HORNO </t>
  </si>
  <si>
    <t xml:space="preserve">filete de salmon </t>
  </si>
  <si>
    <t xml:space="preserve">vegetales salteados </t>
  </si>
  <si>
    <t xml:space="preserve">FILETE DE SALMON </t>
  </si>
  <si>
    <t xml:space="preserve">aceite de ajo y achiote </t>
  </si>
  <si>
    <t xml:space="preserve">ml </t>
  </si>
  <si>
    <t xml:space="preserve">VEGETALES SALTEADOS   </t>
  </si>
  <si>
    <t xml:space="preserve">zanahoria </t>
  </si>
  <si>
    <t xml:space="preserve">espinaca </t>
  </si>
  <si>
    <t xml:space="preserve">pimineta </t>
  </si>
  <si>
    <t xml:space="preserve">soya </t>
  </si>
  <si>
    <t>ml</t>
  </si>
  <si>
    <t xml:space="preserve">chuleton de cerdo </t>
  </si>
  <si>
    <t xml:space="preserve">CHIMICHURRI ARGENTINO </t>
  </si>
  <si>
    <t xml:space="preserve">perejil </t>
  </si>
  <si>
    <t>oregano fresco</t>
  </si>
  <si>
    <t xml:space="preserve">cebolla larga </t>
  </si>
  <si>
    <t>vinagre</t>
  </si>
  <si>
    <t xml:space="preserve">gr  </t>
  </si>
  <si>
    <t>Papa francesa</t>
  </si>
  <si>
    <t>Papa amarilla</t>
  </si>
  <si>
    <t xml:space="preserve">Bondiola </t>
  </si>
  <si>
    <t xml:space="preserve">Chicharron </t>
  </si>
  <si>
    <t xml:space="preserve">Pollo </t>
  </si>
  <si>
    <t xml:space="preserve">Chorizo </t>
  </si>
  <si>
    <t xml:space="preserve">Arepa </t>
  </si>
  <si>
    <t xml:space="preserve">Tostados </t>
  </si>
  <si>
    <t xml:space="preserve">Salsa chontaduro </t>
  </si>
  <si>
    <t xml:space="preserve">Salsa alioli </t>
  </si>
  <si>
    <t xml:space="preserve">Salsa de ajo </t>
  </si>
  <si>
    <t xml:space="preserve">unid </t>
  </si>
  <si>
    <t>churrasco (res)</t>
  </si>
  <si>
    <t xml:space="preserve">chimichurri argentino </t>
  </si>
  <si>
    <t>papas casco (maccain)</t>
  </si>
  <si>
    <t xml:space="preserve">salsa soya </t>
  </si>
  <si>
    <t>5,98</t>
  </si>
  <si>
    <t>2.61</t>
  </si>
  <si>
    <t>58.41</t>
  </si>
  <si>
    <t>11.00</t>
  </si>
  <si>
    <t>$      58.41</t>
  </si>
  <si>
    <t>$      7.83</t>
  </si>
  <si>
    <t>$      55.00</t>
  </si>
  <si>
    <t>$                                       58.41</t>
  </si>
  <si>
    <t>$                                          7.83</t>
  </si>
  <si>
    <t>$                                       55.00</t>
  </si>
  <si>
    <t>2.55</t>
  </si>
  <si>
    <t>23.54</t>
  </si>
  <si>
    <t>25.4</t>
  </si>
  <si>
    <t>$             5.22</t>
  </si>
  <si>
    <t>$            58.41</t>
  </si>
  <si>
    <t>$                                 58.41</t>
  </si>
  <si>
    <t>$                                  5.22</t>
  </si>
  <si>
    <t>5.98</t>
  </si>
  <si>
    <t>2.91</t>
  </si>
  <si>
    <t>3.73</t>
  </si>
  <si>
    <t>83.5</t>
  </si>
  <si>
    <t>26.10</t>
  </si>
  <si>
    <t>$                29.1</t>
  </si>
  <si>
    <t>$                49.2</t>
  </si>
  <si>
    <t>$                2.61</t>
  </si>
  <si>
    <t>$              58.41</t>
  </si>
  <si>
    <t>$                                         29.1</t>
  </si>
  <si>
    <t>$                                          2.61</t>
  </si>
  <si>
    <t>$                                        58.41</t>
  </si>
  <si>
    <t>21.00</t>
  </si>
  <si>
    <t>25.94</t>
  </si>
  <si>
    <t>19.60</t>
  </si>
  <si>
    <t>2.60</t>
  </si>
  <si>
    <t>22.00</t>
  </si>
  <si>
    <t>26.35</t>
  </si>
  <si>
    <t xml:space="preserve">31.60 </t>
  </si>
  <si>
    <t>23.90</t>
  </si>
  <si>
    <t>7.95</t>
  </si>
  <si>
    <t>4.50</t>
  </si>
  <si>
    <t xml:space="preserve">chuney de piña </t>
  </si>
  <si>
    <t>23.21</t>
  </si>
  <si>
    <t>2.50</t>
  </si>
  <si>
    <t>58.17</t>
  </si>
  <si>
    <t>33.22</t>
  </si>
  <si>
    <t>75.00</t>
  </si>
  <si>
    <t>$            58.17</t>
  </si>
  <si>
    <t>$                                  58.17</t>
  </si>
  <si>
    <t>$            66.44</t>
  </si>
  <si>
    <t>$                                 66.44</t>
  </si>
  <si>
    <t>75.64</t>
  </si>
  <si>
    <t>34.20</t>
  </si>
  <si>
    <t>4.10</t>
  </si>
  <si>
    <t>14.30</t>
  </si>
  <si>
    <t>10.00</t>
  </si>
  <si>
    <t>31.60</t>
  </si>
  <si>
    <t>21.49</t>
  </si>
  <si>
    <t xml:space="preserve">pimenton </t>
  </si>
  <si>
    <t>limon</t>
  </si>
  <si>
    <t>aceite de oliva</t>
  </si>
  <si>
    <t xml:space="preserve">punta de anca </t>
  </si>
  <si>
    <t xml:space="preserve">papas </t>
  </si>
  <si>
    <t xml:space="preserve">chimichuri </t>
  </si>
  <si>
    <t xml:space="preserve">lomo viche </t>
  </si>
  <si>
    <t xml:space="preserve">chimichurri </t>
  </si>
  <si>
    <t xml:space="preserve">CHORIZO PARRILLERO </t>
  </si>
  <si>
    <t xml:space="preserve">chorizo de cerdo </t>
  </si>
  <si>
    <t>14.16</t>
  </si>
  <si>
    <t xml:space="preserve">2.60 </t>
  </si>
  <si>
    <t>PICADA MALAGANA X 4</t>
  </si>
  <si>
    <t>PICADA MALAGANA X 2</t>
  </si>
  <si>
    <t xml:space="preserve">SUB CHULETON DE CERDO </t>
  </si>
  <si>
    <t xml:space="preserve">SUB LOMITOS DE RES </t>
  </si>
  <si>
    <t xml:space="preserve">SUB CORDON BLUE </t>
  </si>
  <si>
    <t xml:space="preserve">SUB PIERNA PERNIL  </t>
  </si>
  <si>
    <t xml:space="preserve">SUB MILANESA DE POLLO </t>
  </si>
  <si>
    <t>Item</t>
  </si>
  <si>
    <t>PRODUCTO</t>
  </si>
  <si>
    <t>Costo EMPAQ</t>
  </si>
  <si>
    <t>Costo Ing+emp</t>
  </si>
  <si>
    <t>Costo todo con Combo</t>
  </si>
  <si>
    <t>Precio de venta</t>
  </si>
  <si>
    <t>precio sin impuesto al consumo</t>
  </si>
  <si>
    <t>% Ingredientes</t>
  </si>
  <si>
    <t>% Costo Ing + emp</t>
  </si>
  <si>
    <t>DIFERENCIA</t>
  </si>
  <si>
    <t>PRECIO ACTUAL COMBO</t>
  </si>
  <si>
    <t>PRECIO PROVIASIONAL COMBO</t>
  </si>
  <si>
    <t>NUEVO NOMBRE</t>
  </si>
  <si>
    <t>Costo ing + Variacion</t>
  </si>
  <si>
    <t>EMPAQUES</t>
  </si>
  <si>
    <t>Enmpaques</t>
  </si>
  <si>
    <t>PICADAS</t>
  </si>
  <si>
    <t>GRUPO</t>
  </si>
  <si>
    <t>ENTRADAS</t>
  </si>
  <si>
    <t>CHORIZO PARRILLERO</t>
  </si>
  <si>
    <t>POSTRE</t>
  </si>
  <si>
    <t>ALMUERZOS</t>
  </si>
  <si>
    <t>CHULETON DE CERDON</t>
  </si>
  <si>
    <t>MILANESA DE CERDO</t>
  </si>
  <si>
    <t>LOMITOS EN SALSA MIGNON</t>
  </si>
  <si>
    <t>GRAMAJE O UNIDAD</t>
  </si>
  <si>
    <t>PREPARACIÓN</t>
  </si>
  <si>
    <t>TIEMPO DE PREPARACION</t>
  </si>
  <si>
    <t xml:space="preserve">tener en cuenta  </t>
  </si>
  <si>
    <t xml:space="preserve">PRECIO VENTA </t>
  </si>
  <si>
    <t xml:space="preserve">15 minutos </t>
  </si>
  <si>
    <t xml:space="preserve">12 minutos </t>
  </si>
  <si>
    <t>PRECIOS COMPRA DE PLANTA</t>
  </si>
  <si>
    <t>I/S</t>
  </si>
  <si>
    <t>UNIDAD MEDIDA</t>
  </si>
  <si>
    <t>PROVEEDOR</t>
  </si>
  <si>
    <t>AJO</t>
  </si>
  <si>
    <t>PRODUCTO/INSUMO</t>
  </si>
  <si>
    <t xml:space="preserve">Licores palmira </t>
  </si>
  <si>
    <t>CERVEZA CORONA 330 ML</t>
  </si>
  <si>
    <t>ML</t>
  </si>
  <si>
    <t>UND</t>
  </si>
  <si>
    <t>GR</t>
  </si>
  <si>
    <t>PESO</t>
  </si>
  <si>
    <t>GAS COCA COLA 400 ML X12</t>
  </si>
  <si>
    <t xml:space="preserve">GAS SODA 1.5 X 12 </t>
  </si>
  <si>
    <t>GAS GINGER 1.5 X 12</t>
  </si>
  <si>
    <t>GAS SODA 300 ML X 24</t>
  </si>
  <si>
    <t>GAS GINGER 300 ML X 24</t>
  </si>
  <si>
    <t>AGUA BRISA 600 ML X 24</t>
  </si>
  <si>
    <t>VINO CATA TINTO X 1000</t>
  </si>
  <si>
    <t>TEQUILA JOSE CUERVO X 700</t>
  </si>
  <si>
    <t>TEQUILA OLMECA X 700</t>
  </si>
  <si>
    <t>MARTINI ROSSO X 750</t>
  </si>
  <si>
    <t>AGUARDIENTE  BLANCO TR X 750</t>
  </si>
  <si>
    <t>BRANDY 5 ESTRELLAS X 700</t>
  </si>
  <si>
    <t>RON BACARDI X 750</t>
  </si>
  <si>
    <t xml:space="preserve">Distribuidora Monos </t>
  </si>
  <si>
    <t>LOMO VICHE ESPECIAL</t>
  </si>
  <si>
    <t>MOLIDA CORTES FINOS  X 3970  SN</t>
  </si>
  <si>
    <t>MOLIDA DE RES NACIONAL X 4180 SR</t>
  </si>
  <si>
    <t>PAPAS A LA FRANCESA X 3000</t>
  </si>
  <si>
    <t xml:space="preserve">PAN HAMBURGUESA LISO BRIOCHE X 8 </t>
  </si>
  <si>
    <t>COSTILLA DE CERDO LLANERA X 4955</t>
  </si>
  <si>
    <t xml:space="preserve">CARNES </t>
  </si>
  <si>
    <t>FRUTAS Y VERDURAS</t>
  </si>
  <si>
    <t>Supertiendas Cañaveral</t>
  </si>
  <si>
    <t>MANZANA VERDE X 1000 GR</t>
  </si>
  <si>
    <t>HIERBAS SURTIDAS</t>
  </si>
  <si>
    <t xml:space="preserve">LIMON TAHITI </t>
  </si>
  <si>
    <t>FRESA BANDEJA X 500 GR</t>
  </si>
  <si>
    <t>INSUMOS DE ASEO</t>
  </si>
  <si>
    <t>FIBRA ABRASIVA BONBRIL</t>
  </si>
  <si>
    <t>LAVALOZA LAVAMIL 1400 ML</t>
  </si>
  <si>
    <t>ESPONJILLA SCOTCH</t>
  </si>
  <si>
    <t>La casa de las Bolsas</t>
  </si>
  <si>
    <t>Desechable C1 X 10 Und</t>
  </si>
  <si>
    <t>UVA ISABEL X 400 GR</t>
  </si>
  <si>
    <t>Valhalla</t>
  </si>
  <si>
    <t>ZUMO DE LIMON X 1000 ML</t>
  </si>
  <si>
    <t>D1</t>
  </si>
  <si>
    <t>SERVILLETAS DE LUJO X 50</t>
  </si>
  <si>
    <t>SERVILLETA CORTADA</t>
  </si>
  <si>
    <t>PAQ</t>
  </si>
  <si>
    <t>TOALLA PARA MANOS</t>
  </si>
  <si>
    <t>EMPAQUES Y OTROS</t>
  </si>
  <si>
    <t>PERNIL MCPOLLO CAMPO</t>
  </si>
  <si>
    <t>NARANJA  X 3000</t>
  </si>
  <si>
    <t>LECHUGA BIOFRESCOS</t>
  </si>
  <si>
    <t xml:space="preserve">PAPA AMARILLA </t>
  </si>
  <si>
    <t>LAVA LOZA X 1000</t>
  </si>
  <si>
    <t>TOCINETA AHUMADA COCIDA</t>
  </si>
  <si>
    <t>POSTRES</t>
  </si>
  <si>
    <t>Deleite pastelerias</t>
  </si>
  <si>
    <t>CHEESECAKE X 500 GR</t>
  </si>
  <si>
    <t xml:space="preserve">TARTA DE QUESO </t>
  </si>
  <si>
    <t>SALSA DE FRUTOS ROJOS</t>
  </si>
  <si>
    <t>TOCINETA ARTESANAL X 1000 GR</t>
  </si>
  <si>
    <t xml:space="preserve">PAPAS </t>
  </si>
  <si>
    <t>PAN</t>
  </si>
  <si>
    <t>La 27</t>
  </si>
  <si>
    <t>PAN TAJADO BIMBO</t>
  </si>
  <si>
    <t>JAMON CALIMA 500 GR</t>
  </si>
  <si>
    <t>LACTEOS</t>
  </si>
  <si>
    <t>QUESO TAJADO SANT ELENA X 2500 GR</t>
  </si>
  <si>
    <t>El Gran Langostino</t>
  </si>
  <si>
    <t>ABARROTES</t>
  </si>
  <si>
    <t>HARINA DE TRIGO HAZ DE OROS X 500 GR</t>
  </si>
  <si>
    <t>ALMENDRA ISABEL X 100 GR</t>
  </si>
  <si>
    <t>LECHE DE COCO ROLAND 414 GR</t>
  </si>
  <si>
    <t>ANIS SANTAFERRERO 30 GR</t>
  </si>
  <si>
    <t>CREMA DE LECHE ALPINA 1100 GR</t>
  </si>
  <si>
    <t>COLOR COCINERITO 100 GR</t>
  </si>
  <si>
    <t>AZUCAR MAYAGUEZ X 5000</t>
  </si>
  <si>
    <t>RUGULA ORTIFRESCO X 150 GR</t>
  </si>
  <si>
    <t>HIERBAS SURTIDAS X 50 GR</t>
  </si>
  <si>
    <t>AREPAS DOÑA LUPE X 10 UNS</t>
  </si>
  <si>
    <t>SUERO COSTEÑO SAN FERNANDO X 200 GR</t>
  </si>
  <si>
    <t>CAFÉ AGUILA ROJA X 1000 GR</t>
  </si>
  <si>
    <t>FECULA DE MAIZ X 380 GR</t>
  </si>
  <si>
    <t>SAL REFISAL X 1000 GR</t>
  </si>
  <si>
    <t>CURCUMA LIBERTY 125 GR</t>
  </si>
  <si>
    <t>PIÑA ORO MIEL</t>
  </si>
  <si>
    <t>MARACUYA</t>
  </si>
  <si>
    <t xml:space="preserve">PIMENTON </t>
  </si>
  <si>
    <t>CEBOLLA CABEZONA</t>
  </si>
  <si>
    <t>PLATANO GUAYABO</t>
  </si>
  <si>
    <t>UCHUVAS X 250 GR</t>
  </si>
  <si>
    <t>TOMATE CHONTO</t>
  </si>
  <si>
    <t xml:space="preserve">LULO </t>
  </si>
  <si>
    <t xml:space="preserve">AJI DULCE X 50 GR </t>
  </si>
  <si>
    <t xml:space="preserve">VALOR DEL GRAMO </t>
  </si>
  <si>
    <t>Harina de trigo</t>
  </si>
  <si>
    <t>Levadura</t>
  </si>
  <si>
    <t>ACEITE  DOÑA LUPE 3000 ML SOYA</t>
  </si>
  <si>
    <t>LYCHEES KARI X 565 ML</t>
  </si>
  <si>
    <t>PEPINILLO VLASIC X 1360 ML</t>
  </si>
  <si>
    <t>Sal</t>
  </si>
  <si>
    <t>Agua</t>
  </si>
  <si>
    <t>Choridanni</t>
  </si>
  <si>
    <t>CHORIZO PARRILLERO X 5</t>
  </si>
  <si>
    <t>SALSA DE AGRAS</t>
  </si>
  <si>
    <t>SALSA DE FRUTOS AMARILLOS</t>
  </si>
  <si>
    <t>MARGARITA</t>
  </si>
  <si>
    <t>Masa para Pizza</t>
  </si>
  <si>
    <t xml:space="preserve">Salsa Napolitana </t>
  </si>
  <si>
    <t>Tomate Chery</t>
  </si>
  <si>
    <t>Aceite de Oliva</t>
  </si>
  <si>
    <t>Albahaca Genovesa</t>
  </si>
  <si>
    <t xml:space="preserve">Queso Mozarrella </t>
  </si>
  <si>
    <t>Tocineta</t>
  </si>
  <si>
    <t>Miel Caña</t>
  </si>
  <si>
    <t>Bondiola</t>
  </si>
  <si>
    <t>PIZZAS</t>
  </si>
  <si>
    <t>CARNES</t>
  </si>
  <si>
    <t>Mix de papas</t>
  </si>
  <si>
    <t>QUESO MOZARELLA X 2500</t>
  </si>
  <si>
    <t>LICORES PALMIRA</t>
  </si>
  <si>
    <t>LA AMISTAD</t>
  </si>
  <si>
    <t xml:space="preserve">LOS MONOS </t>
  </si>
  <si>
    <t xml:space="preserve">CAÑAVERAL </t>
  </si>
  <si>
    <t>SOLO FRUTAS</t>
  </si>
  <si>
    <t>QUESOS LUIS</t>
  </si>
  <si>
    <t>CERVALLE</t>
  </si>
  <si>
    <t xml:space="preserve">COMPRAS </t>
  </si>
  <si>
    <t>Saldo tarjeta</t>
  </si>
  <si>
    <t>CHICHARON BARRIGUERO X 1000</t>
  </si>
  <si>
    <t>Comercializadora Malta</t>
  </si>
  <si>
    <t>BEBIDAS Y LICORES</t>
  </si>
  <si>
    <t>Empresarial Giraldo</t>
  </si>
  <si>
    <t>HOTBORT LYCHE X 1100 ML</t>
  </si>
  <si>
    <t>HOTBORT GRANADINE X 1100 ML</t>
  </si>
  <si>
    <t>LICOR BRISAR BLUE T/SEC X 750 ML</t>
  </si>
  <si>
    <t xml:space="preserve">LYCHE EL FORTIN LATA X 567 </t>
  </si>
  <si>
    <t>VINO CATA BLANCO X 1000 ML</t>
  </si>
  <si>
    <t>BEBIDA GATORADE X 500 ML</t>
  </si>
  <si>
    <t>GAS COCA COLA ZERO 400 ML X12</t>
  </si>
  <si>
    <t>TEQUILA JIMADOR REPOSADO X700 ML</t>
  </si>
  <si>
    <t xml:space="preserve">GINEGRA GORDONS X 700 ML </t>
  </si>
  <si>
    <t>CERVEZA CLUB COL DOR X 330 ML</t>
  </si>
  <si>
    <t>QUICENO Y CIA</t>
  </si>
  <si>
    <t>MEGA FRUVER</t>
  </si>
  <si>
    <t>COMERCIALIZADORA</t>
  </si>
  <si>
    <t>LOS MONOS</t>
  </si>
  <si>
    <t>CLAVO Y CANELA</t>
  </si>
  <si>
    <t>COM MALTA</t>
  </si>
  <si>
    <t>EFECTIVO</t>
  </si>
  <si>
    <t xml:space="preserve">LICORES PALMIRA </t>
  </si>
  <si>
    <t xml:space="preserve">DISTRIDESCUENTOS </t>
  </si>
  <si>
    <t>Porcicarnes</t>
  </si>
  <si>
    <t>PROVEEDOR / PRECIO COMPRA</t>
  </si>
  <si>
    <t xml:space="preserve">MILANESA DE CERDO </t>
  </si>
  <si>
    <t xml:space="preserve">cilantro </t>
  </si>
  <si>
    <t xml:space="preserve">cebolla cabezona </t>
  </si>
  <si>
    <t>pimienta</t>
  </si>
  <si>
    <t>caderita</t>
  </si>
  <si>
    <t>mantequilla</t>
  </si>
  <si>
    <t xml:space="preserve">limon </t>
  </si>
  <si>
    <t xml:space="preserve">filete de tilapia </t>
  </si>
  <si>
    <t>crema de verduras</t>
  </si>
  <si>
    <t xml:space="preserve">puerro </t>
  </si>
  <si>
    <t xml:space="preserve">apio </t>
  </si>
  <si>
    <t xml:space="preserve">papa amarilla </t>
  </si>
  <si>
    <t xml:space="preserve">zapallo </t>
  </si>
  <si>
    <t>ajo</t>
  </si>
  <si>
    <t xml:space="preserve">maiz trillado </t>
  </si>
  <si>
    <t>CREMA DE MAIZ</t>
  </si>
  <si>
    <t xml:space="preserve">papas fosforos </t>
  </si>
  <si>
    <t>crema de leche</t>
  </si>
  <si>
    <t>champiñones</t>
  </si>
  <si>
    <t xml:space="preserve">BONDIOLA DE CERDO </t>
  </si>
  <si>
    <t xml:space="preserve">Bondiola de cerdo </t>
  </si>
  <si>
    <t xml:space="preserve">Papa cocida </t>
  </si>
  <si>
    <t>Maduro Cocido</t>
  </si>
  <si>
    <t xml:space="preserve">crema </t>
  </si>
  <si>
    <t xml:space="preserve">crema de champiñones </t>
  </si>
  <si>
    <t>BONDIOLA DE CERDO</t>
  </si>
  <si>
    <t xml:space="preserve">FILETE TILAPIA </t>
  </si>
  <si>
    <t>CADERITA SALSA DE CHAMPIÑON</t>
  </si>
  <si>
    <t>CUBITOS DE POLLO SALSA CILANTRO</t>
  </si>
  <si>
    <t xml:space="preserve">Ensalada </t>
  </si>
  <si>
    <t>und</t>
  </si>
  <si>
    <t>COSTO</t>
  </si>
  <si>
    <t xml:space="preserve">ELIGE UN ACOMPAÑANTE </t>
  </si>
  <si>
    <t>Arroz tradicional</t>
  </si>
  <si>
    <t>Maduro y papa cocido</t>
  </si>
  <si>
    <t>ELIGE UNA CREMA</t>
  </si>
  <si>
    <t>ELIGE TU PLATO</t>
  </si>
  <si>
    <t xml:space="preserve">PRECIO DE VENTA </t>
  </si>
  <si>
    <t>Pasta napolitana</t>
  </si>
  <si>
    <t>CUBITOS DE POLLO SALSA CILANTRO 150 GR</t>
  </si>
  <si>
    <t>FILETE DE TILAPIA 150 gr</t>
  </si>
  <si>
    <t>CADERITA SALSA DE CHAMPIÑON 150 GR</t>
  </si>
  <si>
    <t>MILANESA DE CERDO 150 Gr</t>
  </si>
  <si>
    <t>ELIGE UNA BEBIDA ADICIONAL</t>
  </si>
  <si>
    <t>Todos nuestros platos van con ensalsda de la casa y un vaso de jugo de 9 0nz</t>
  </si>
  <si>
    <t>BONDIOLA DE CERDO 150 GR</t>
  </si>
  <si>
    <t>Verduras  (Miercoles Jueves)</t>
  </si>
  <si>
    <t xml:space="preserve">Maiz  (Viernes Sabado) </t>
  </si>
  <si>
    <t>Champiñones (Domingos)</t>
  </si>
  <si>
    <t>PUNTA DE ANCA URUGUAYA X 1000 GR</t>
  </si>
  <si>
    <t>LOMO CARACHA ANGUS URUGUAYA 1000 GR</t>
  </si>
  <si>
    <t>Cervalle</t>
  </si>
  <si>
    <t>BONDIOLA X 1000 GR</t>
  </si>
  <si>
    <t>LA 27</t>
  </si>
  <si>
    <t xml:space="preserve">PAN HAMBURGUESA GOURMET AJONJ  X 8 </t>
  </si>
  <si>
    <t>QUESO COSTEÑO</t>
  </si>
  <si>
    <t>Quesos Don Luis</t>
  </si>
  <si>
    <t xml:space="preserve">Licores Palmira </t>
  </si>
  <si>
    <t>WHISKY JACK DANIELS</t>
  </si>
  <si>
    <t>LECHE DE COCO KARI 400 GR</t>
  </si>
  <si>
    <t>VINAGRE SAZON DE MAMA X 3000 ML</t>
  </si>
  <si>
    <t xml:space="preserve">PAPEL DARNEL X 200 M </t>
  </si>
  <si>
    <t>PASTA MONTICELLO X 500 GR FETTUCHENE</t>
  </si>
  <si>
    <t>AZUCAR MORENA  X 2500 GR RIO PAILA</t>
  </si>
  <si>
    <t>TOHALLA COCINA  X 135 H GREEN FSC</t>
  </si>
  <si>
    <t xml:space="preserve">LAVA LOZA X 1500 ML LIMON AXION </t>
  </si>
  <si>
    <t>TORTILLA FAJITA X 12 UND</t>
  </si>
  <si>
    <t xml:space="preserve">PANELA PULVERIZADA </t>
  </si>
  <si>
    <t xml:space="preserve">JUGO DE MANDARINA  </t>
  </si>
  <si>
    <t>PASTA DE TOMATE ALFRESCO X 250 ML</t>
  </si>
  <si>
    <t>ACEITE OLIVETO X 1000 ML</t>
  </si>
  <si>
    <t>VODKA ADSOLUT BLUE X 700 ML</t>
  </si>
  <si>
    <t>AGUARDIENTE BLANCO FIESTA X 375 ML</t>
  </si>
  <si>
    <t>RON VC X 375 ML</t>
  </si>
  <si>
    <t>AGUA MIA X 600 CC</t>
  </si>
  <si>
    <t>Gaseosa      $5000</t>
  </si>
  <si>
    <t>Botella de Agua $4500</t>
  </si>
  <si>
    <t>BREBA AREQUIPE</t>
  </si>
  <si>
    <t>FLAN</t>
  </si>
  <si>
    <t>Papa Casco</t>
  </si>
  <si>
    <t>Aguapanela con limon</t>
  </si>
  <si>
    <t>Cerveza ncional $7500</t>
  </si>
  <si>
    <t>Limonada          $6000</t>
  </si>
  <si>
    <t xml:space="preserve">Miercolea 18 de junio </t>
  </si>
  <si>
    <t>Fudis 4 a 6</t>
  </si>
  <si>
    <t xml:space="preserve">Volantes </t>
  </si>
  <si>
    <t>1 semana de volanteo</t>
  </si>
  <si>
    <t xml:space="preserve">ACIDO ASCORBICO </t>
  </si>
  <si>
    <t>Nelly Herrera Arango</t>
  </si>
  <si>
    <t>TOMATE CHERRY X 250 GR</t>
  </si>
  <si>
    <t>PAN HAMBURGUESA X 10</t>
  </si>
  <si>
    <t>Pan Wich</t>
  </si>
  <si>
    <t>HAMBURGUESA PROMOCION 2*1</t>
  </si>
  <si>
    <t xml:space="preserve">PAN DE HAMBURGUESA </t>
  </si>
  <si>
    <t xml:space="preserve">und </t>
  </si>
  <si>
    <t xml:space="preserve">CARNE NACIONAL </t>
  </si>
  <si>
    <t xml:space="preserve">QUESO </t>
  </si>
  <si>
    <t xml:space="preserve">LECHUGA </t>
  </si>
  <si>
    <t xml:space="preserve">TOMATE </t>
  </si>
  <si>
    <t xml:space="preserve">CEBOLLA CARAMELIZADA </t>
  </si>
  <si>
    <t xml:space="preserve">SALSA DE AJO </t>
  </si>
  <si>
    <t xml:space="preserve">SALSA DE MIEL MOSTAZA </t>
  </si>
  <si>
    <t xml:space="preserve">queso mozarella </t>
  </si>
  <si>
    <t xml:space="preserve">maduro </t>
  </si>
  <si>
    <t>masa de pizza</t>
  </si>
  <si>
    <t>queso mozarella</t>
  </si>
  <si>
    <t xml:space="preserve">chorizo </t>
  </si>
  <si>
    <t xml:space="preserve">merma de carne </t>
  </si>
  <si>
    <t>chimichurri</t>
  </si>
  <si>
    <t>CANTIDAD</t>
  </si>
  <si>
    <t>UND MEDIDA</t>
  </si>
  <si>
    <t>VALOR</t>
  </si>
  <si>
    <t xml:space="preserve">COSTO + PRECIO DE VENTA </t>
  </si>
  <si>
    <t xml:space="preserve">COSTO DE INGREDIENTES </t>
  </si>
  <si>
    <t xml:space="preserve">MATERIAL DE EMPAQUE </t>
  </si>
  <si>
    <t>COS/GR</t>
  </si>
  <si>
    <t xml:space="preserve"> SAMBA </t>
  </si>
  <si>
    <t>SAMBA</t>
  </si>
  <si>
    <t>ORIGEN</t>
  </si>
  <si>
    <t>MASA PARA PIZZA X 4</t>
  </si>
  <si>
    <t>CUBITOS DE POLLO SALSA DE CILANTRO</t>
  </si>
  <si>
    <t>CADERITA EN SALSA DE CHAMPIÑON</t>
  </si>
  <si>
    <t xml:space="preserve">FILETE DE TILAPIA </t>
  </si>
  <si>
    <t>CHURRASCO</t>
  </si>
  <si>
    <t xml:space="preserve">PUNTA DE ANCA </t>
  </si>
  <si>
    <t>BEBY BEEF</t>
  </si>
  <si>
    <t xml:space="preserve">LOMO CARACHA 1000  chatA DIA </t>
  </si>
  <si>
    <t>PUNTA DE ANCA MADURADA X 1000 GR DIA</t>
  </si>
  <si>
    <t>Pasta Fetuccinni</t>
  </si>
  <si>
    <t>PASTA CARBONARA</t>
  </si>
  <si>
    <t xml:space="preserve">PASTA NAPOLITANA </t>
  </si>
  <si>
    <t>PASTAS</t>
  </si>
  <si>
    <t>PASTA AMATRICIANA</t>
  </si>
  <si>
    <t>CARBONARA</t>
  </si>
  <si>
    <t>NAPOLITANA</t>
  </si>
  <si>
    <t>AMATRICIANA</t>
  </si>
  <si>
    <t xml:space="preserve">CARLOTTA DE LIMON </t>
  </si>
  <si>
    <t xml:space="preserve">leche condensada </t>
  </si>
  <si>
    <t xml:space="preserve">galletas sultana </t>
  </si>
  <si>
    <t xml:space="preserve">azucar </t>
  </si>
  <si>
    <t xml:space="preserve">huevos </t>
  </si>
  <si>
    <t xml:space="preserve">esencia de vainilla </t>
  </si>
  <si>
    <t>Mercar</t>
  </si>
  <si>
    <t>LECHERA X 2000 ML</t>
  </si>
  <si>
    <t>CREMA DE LECHE X 850 ML</t>
  </si>
  <si>
    <t>Solo Frutas</t>
  </si>
  <si>
    <t>Éxito</t>
  </si>
  <si>
    <t>GALLETA SULTANA X 440</t>
  </si>
  <si>
    <t>PORCINES</t>
  </si>
  <si>
    <t>LECHE ALQUERIA X 1000 ML</t>
  </si>
  <si>
    <t>ESENCIA DE VAINILLA X 500 ML</t>
  </si>
  <si>
    <t>CARLOTTA DE LIMON</t>
  </si>
  <si>
    <t>FLAN  NAPOLITANO</t>
  </si>
  <si>
    <t xml:space="preserve">La biblia de los productos </t>
  </si>
  <si>
    <t xml:space="preserve">Costos de la receta </t>
  </si>
  <si>
    <t xml:space="preserve">Lista de Proveedores </t>
  </si>
  <si>
    <t xml:space="preserve">Capacitar al equipo </t>
  </si>
  <si>
    <t>ENSALADA FRESCA</t>
  </si>
  <si>
    <t xml:space="preserve">ABORRAJADOS </t>
  </si>
  <si>
    <t xml:space="preserve">Aborajados </t>
  </si>
  <si>
    <t xml:space="preserve">Und </t>
  </si>
  <si>
    <t>ABORRAJADOS</t>
  </si>
  <si>
    <t>SALPICON DE PULPO Y CHICHARON</t>
  </si>
  <si>
    <t xml:space="preserve">Pulpo </t>
  </si>
  <si>
    <t>Cebolla encurtida</t>
  </si>
  <si>
    <t xml:space="preserve">Tomate Cherry </t>
  </si>
  <si>
    <t>Suero costeño</t>
  </si>
  <si>
    <t>PULPO GRD X1000</t>
  </si>
  <si>
    <t xml:space="preserve">SALPICON DE PULPÓ Y CHICHARON </t>
  </si>
  <si>
    <t xml:space="preserve">CARPACCIO DE BONDIOLA ACARAMELADA </t>
  </si>
  <si>
    <t>Bondiola acarmelada</t>
  </si>
  <si>
    <t xml:space="preserve">Rugula </t>
  </si>
  <si>
    <t xml:space="preserve">Miel de caña </t>
  </si>
  <si>
    <t xml:space="preserve">Aceite de oliva </t>
  </si>
  <si>
    <t>ACEITE DE OLIVA X 1000 ML</t>
  </si>
  <si>
    <t>TOMATE CHERRY X 250GR</t>
  </si>
  <si>
    <t xml:space="preserve">Verduras  </t>
  </si>
  <si>
    <t>CREMA</t>
  </si>
  <si>
    <t>Todos nuestros platos van con ensalsda de la casa y un vaso de limonada de 9 0nz</t>
  </si>
  <si>
    <t xml:space="preserve">TOTAL </t>
  </si>
  <si>
    <t xml:space="preserve">Enpaque Roauter </t>
  </si>
  <si>
    <t xml:space="preserve">tenedor y cuchillo </t>
  </si>
  <si>
    <t xml:space="preserve">Total </t>
  </si>
  <si>
    <t>MARGEN CONTRIBUCION  SIN EMP</t>
  </si>
  <si>
    <t>% CONTRIBUCION  SIN EMP</t>
  </si>
  <si>
    <t>% CONTRIBUCION + EMP</t>
  </si>
  <si>
    <t>MARGEN CONTRIBUCION + EMP</t>
  </si>
  <si>
    <t>PRECIO DE VENTAS</t>
  </si>
  <si>
    <t xml:space="preserve">% Ingredientes + Variacion </t>
  </si>
  <si>
    <t>CORTES</t>
  </si>
  <si>
    <t>CHICHARON OREADO</t>
  </si>
  <si>
    <t>Chicharrón Oreado</t>
  </si>
  <si>
    <t xml:space="preserve">Miel de Caña </t>
  </si>
  <si>
    <t xml:space="preserve">MIEL DE CAÑA </t>
  </si>
  <si>
    <t xml:space="preserve">Panela </t>
  </si>
  <si>
    <t>Poleo</t>
  </si>
  <si>
    <t>Tomillo</t>
  </si>
  <si>
    <t xml:space="preserve">Fecula </t>
  </si>
  <si>
    <t xml:space="preserve">Jugo de Naranja </t>
  </si>
  <si>
    <t>Ml</t>
  </si>
  <si>
    <t xml:space="preserve">Agua </t>
  </si>
  <si>
    <t>PANELA EL TREBOL REDONDA EMPAC.1000GR</t>
  </si>
  <si>
    <t>FECULA DE MAIZ X 1000 GR</t>
  </si>
  <si>
    <t>PLATOS</t>
  </si>
  <si>
    <t>CHICHARON ORNEADO</t>
  </si>
  <si>
    <t>POLLO DORADO</t>
  </si>
  <si>
    <t>Churrasquillo de pollo</t>
  </si>
  <si>
    <t xml:space="preserve">Pure de maduro </t>
  </si>
  <si>
    <t>Salsa artesanal de tomate y romero</t>
  </si>
  <si>
    <t>JARDINERA</t>
  </si>
  <si>
    <t xml:space="preserve">ENSALADA DE BONDIOLA </t>
  </si>
  <si>
    <t>Jamón de Bondiola Acaramelada</t>
  </si>
  <si>
    <t>Mix de Lechugas</t>
  </si>
  <si>
    <t>Cebolla Encurtida</t>
  </si>
  <si>
    <t>Miel de Caña</t>
  </si>
  <si>
    <t>CEBOLLAS ENCURTIDAS</t>
  </si>
  <si>
    <t>vinagre blanco</t>
  </si>
  <si>
    <t>cebolla cabezona</t>
  </si>
  <si>
    <t xml:space="preserve">Sal </t>
  </si>
  <si>
    <t xml:space="preserve">miel </t>
  </si>
  <si>
    <t xml:space="preserve">vinagre blanco </t>
  </si>
  <si>
    <t xml:space="preserve">huevo </t>
  </si>
  <si>
    <t xml:space="preserve">Cilantro </t>
  </si>
  <si>
    <t>SALSA DE AJO</t>
  </si>
  <si>
    <t>HUEVOS</t>
  </si>
  <si>
    <t>DIENTES DE AJO</t>
  </si>
  <si>
    <t>ACEITE</t>
  </si>
  <si>
    <t>PAN DE MOLDE</t>
  </si>
  <si>
    <t>LECHE</t>
  </si>
  <si>
    <t>SAL</t>
  </si>
  <si>
    <t>PIMIENTA</t>
  </si>
  <si>
    <t>Pimenton</t>
  </si>
  <si>
    <t>Cebolla morada</t>
  </si>
  <si>
    <t>Ajo</t>
  </si>
  <si>
    <t xml:space="preserve">Sal  </t>
  </si>
  <si>
    <t>Menjumbre</t>
  </si>
  <si>
    <t>Curcuma</t>
  </si>
  <si>
    <t xml:space="preserve">PULPO </t>
  </si>
  <si>
    <t xml:space="preserve">Apio </t>
  </si>
  <si>
    <t xml:space="preserve">Cebolla blanca </t>
  </si>
  <si>
    <t>Zanahoria</t>
  </si>
  <si>
    <t xml:space="preserve">Pimineta </t>
  </si>
  <si>
    <t xml:space="preserve">Ajo </t>
  </si>
  <si>
    <t xml:space="preserve">Laurel </t>
  </si>
  <si>
    <t xml:space="preserve">Tomillo </t>
  </si>
  <si>
    <t>PURE DE MADURO</t>
  </si>
  <si>
    <t>Platano Guayabo</t>
  </si>
  <si>
    <t>Merjumbre de maduro</t>
  </si>
  <si>
    <t>Azucar</t>
  </si>
  <si>
    <t>Paprika</t>
  </si>
  <si>
    <t>Pasta de ajo</t>
  </si>
  <si>
    <t xml:space="preserve">Comino </t>
  </si>
  <si>
    <t xml:space="preserve">Sal refinada </t>
  </si>
  <si>
    <t xml:space="preserve">Chicharon barriguero </t>
  </si>
  <si>
    <t>CHURRASQUILLO DE POLLO</t>
  </si>
  <si>
    <t xml:space="preserve">Vino blanco </t>
  </si>
  <si>
    <t xml:space="preserve">Pimienta </t>
  </si>
  <si>
    <t xml:space="preserve">Limon </t>
  </si>
  <si>
    <t xml:space="preserve">Pasta de ajo </t>
  </si>
  <si>
    <t xml:space="preserve">Pernil de pollo </t>
  </si>
  <si>
    <t>COSTILLA SOUS VIDE</t>
  </si>
  <si>
    <t>Costilla tipo llanera</t>
  </si>
  <si>
    <t>Cebolla</t>
  </si>
  <si>
    <t>Pimenta</t>
  </si>
  <si>
    <t>Naranja</t>
  </si>
  <si>
    <t>Vinagre de manzana</t>
  </si>
  <si>
    <t>JAMON DE BONDIOLA ACARAMELADO</t>
  </si>
  <si>
    <t xml:space="preserve">Azucar </t>
  </si>
  <si>
    <t>Sal refinada</t>
  </si>
  <si>
    <t xml:space="preserve">Pimienta negra </t>
  </si>
  <si>
    <t xml:space="preserve">Panela granulada </t>
  </si>
  <si>
    <t xml:space="preserve">Paprika </t>
  </si>
  <si>
    <t xml:space="preserve">Viche </t>
  </si>
  <si>
    <t>MINI BAOS</t>
  </si>
  <si>
    <t xml:space="preserve">harina de trigo </t>
  </si>
  <si>
    <t xml:space="preserve">fecula </t>
  </si>
  <si>
    <t>azucar corriente</t>
  </si>
  <si>
    <t xml:space="preserve">levadura seca </t>
  </si>
  <si>
    <t xml:space="preserve">MANJUMBRE </t>
  </si>
  <si>
    <t>LECHE DE COCO</t>
  </si>
  <si>
    <t>ESENCIA DE COCO</t>
  </si>
  <si>
    <t>CREMA DE LECHE</t>
  </si>
  <si>
    <t xml:space="preserve">HAMBURGUESA MALAGANA </t>
  </si>
  <si>
    <t>Pan brioche </t>
  </si>
  <si>
    <t>Und</t>
  </si>
  <si>
    <t>mantequilla de chontaduro</t>
  </si>
  <si>
    <t>carne artesanal</t>
  </si>
  <si>
    <t>cebolla caramelizada en uchuva</t>
  </si>
  <si>
    <t>lechuga de temporada</t>
  </si>
  <si>
    <t>tomate milano</t>
  </si>
  <si>
    <t>mix de papa </t>
  </si>
  <si>
    <t>HAMBURGUESA CACIQUE</t>
  </si>
  <si>
    <t>Carne angus americana</t>
  </si>
  <si>
    <t>queso philadelphia</t>
  </si>
  <si>
    <t>cebolla crispy</t>
  </si>
  <si>
    <t>pan brioche artesanal </t>
  </si>
  <si>
    <t>tocineta</t>
  </si>
  <si>
    <t>mix de papas</t>
  </si>
  <si>
    <t>salsa de la casa</t>
  </si>
  <si>
    <t>COSTILLA TIPO LLANERA </t>
  </si>
  <si>
    <t>PAPAS AMARILLAS EN CASCO</t>
  </si>
  <si>
    <t>sal</t>
  </si>
  <si>
    <t>pimienta dulce</t>
  </si>
  <si>
    <t xml:space="preserve">ALIOLI DE CILANTRO </t>
  </si>
  <si>
    <t>aceite de soya</t>
  </si>
  <si>
    <t>puerro</t>
  </si>
  <si>
    <t>aceite soya</t>
  </si>
  <si>
    <t>alioli cilantro</t>
  </si>
  <si>
    <t>Jardinera</t>
  </si>
  <si>
    <t>GOMA (AGUA CON AZUCAR)</t>
  </si>
  <si>
    <t>ENSALADA DE BONDIOLA</t>
  </si>
  <si>
    <t>DIP DE TOCINETA</t>
  </si>
  <si>
    <t xml:space="preserve">cebolla cabezona blanca </t>
  </si>
  <si>
    <t xml:space="preserve">canela </t>
  </si>
  <si>
    <t xml:space="preserve">cebolla blanca </t>
  </si>
  <si>
    <t xml:space="preserve">cebolla morada </t>
  </si>
  <si>
    <t xml:space="preserve">azucar morena </t>
  </si>
  <si>
    <t xml:space="preserve">salsa de soya </t>
  </si>
  <si>
    <t>30 und</t>
  </si>
  <si>
    <t xml:space="preserve">REDUCCION DE FLOR DE JAMAICA </t>
  </si>
  <si>
    <t xml:space="preserve">queso costeño </t>
  </si>
  <si>
    <t xml:space="preserve">almendras rebanadas </t>
  </si>
  <si>
    <t xml:space="preserve">MINI BAOS RELLENOS </t>
  </si>
  <si>
    <t xml:space="preserve">Mini baos </t>
  </si>
  <si>
    <t>Salsa agridulce</t>
  </si>
  <si>
    <t>Lechuga</t>
  </si>
  <si>
    <t xml:space="preserve">Alioli de cilantro </t>
  </si>
  <si>
    <t>Piña</t>
  </si>
  <si>
    <t xml:space="preserve">Azucar Morena </t>
  </si>
  <si>
    <t>Pasta de tomate</t>
  </si>
  <si>
    <t>Soya</t>
  </si>
  <si>
    <t>Anis estrellado</t>
  </si>
  <si>
    <t xml:space="preserve">Naranja </t>
  </si>
  <si>
    <t>SALSA AGRIDULCE</t>
  </si>
  <si>
    <t>Chuney de piña</t>
  </si>
  <si>
    <t>Cebollitas encurtidas</t>
  </si>
  <si>
    <t>Pulpo Cocido</t>
  </si>
  <si>
    <t>QPONERA</t>
  </si>
  <si>
    <t>PIZZA</t>
  </si>
  <si>
    <t>HAMBURGUESA</t>
  </si>
  <si>
    <t xml:space="preserve">DE LUNES A VIERNES </t>
  </si>
  <si>
    <t>DOS POR</t>
  </si>
  <si>
    <t>UNA PRECIO FULL</t>
  </si>
  <si>
    <t>UNA AL 50%</t>
  </si>
  <si>
    <t>QPON PARA 2 SOLO 1</t>
  </si>
  <si>
    <t>CHIMICHURRI ARGENTINO</t>
  </si>
  <si>
    <t>Caja de Pizza</t>
  </si>
  <si>
    <t>MANTEQUILLA DE CHONTADURO</t>
  </si>
  <si>
    <t xml:space="preserve">MANTEQUILLA </t>
  </si>
  <si>
    <t>CHONTADURO</t>
  </si>
  <si>
    <t>CEBOLLA CRISPY</t>
  </si>
  <si>
    <t xml:space="preserve">Cebolla Cabezona </t>
  </si>
  <si>
    <t xml:space="preserve">Fecula de Maicena </t>
  </si>
  <si>
    <t>SALSA DE TOMATE ARTESANAL</t>
  </si>
  <si>
    <t>Tomate Chonto</t>
  </si>
  <si>
    <t xml:space="preserve">Cebolla cabezona </t>
  </si>
  <si>
    <t xml:space="preserve">Albahaca Genovesa </t>
  </si>
  <si>
    <t>Pasta de Tomate</t>
  </si>
  <si>
    <t>Pasta de Ajo</t>
  </si>
  <si>
    <t>Arroz</t>
  </si>
  <si>
    <t xml:space="preserve">Maduro </t>
  </si>
  <si>
    <t>Papa</t>
  </si>
  <si>
    <t>CHUNEY</t>
  </si>
  <si>
    <t>PIÑA</t>
  </si>
  <si>
    <t>ALBAHACA GENOVESA</t>
  </si>
  <si>
    <t>ESENCIA COCO</t>
  </si>
  <si>
    <t>AZUCAR</t>
  </si>
  <si>
    <t xml:space="preserve">MAICENA </t>
  </si>
  <si>
    <t>Dip de tocineta</t>
  </si>
  <si>
    <t>CEBOLLA CARMELIZADA DE UCHUVA</t>
  </si>
  <si>
    <t>Dip de pepinillos</t>
  </si>
  <si>
    <t>DIP DE PEPINILLOS</t>
  </si>
  <si>
    <t>MIEL DE CAÑA</t>
  </si>
  <si>
    <t>PEPINILLOS</t>
  </si>
  <si>
    <t>VINAGRE DE PEPINILLO</t>
  </si>
  <si>
    <t xml:space="preserve">SAL </t>
  </si>
  <si>
    <t>ACEITE DOÑA LUPE</t>
  </si>
  <si>
    <t>PAPRIKA</t>
  </si>
  <si>
    <t>MIEL</t>
  </si>
  <si>
    <t>PANCHO</t>
  </si>
  <si>
    <t>CHORIZO</t>
  </si>
  <si>
    <t>COLESTLAW</t>
  </si>
  <si>
    <t>PAN PERRO</t>
  </si>
  <si>
    <t>CHIMICHURRI</t>
  </si>
  <si>
    <t>JAMON</t>
  </si>
  <si>
    <t>ALBAHACA</t>
  </si>
  <si>
    <t>TOMATE</t>
  </si>
  <si>
    <t>PAN HAMBURGUESA</t>
  </si>
  <si>
    <t>PECHUGA</t>
  </si>
  <si>
    <t>ALIOLI CILANTRO</t>
  </si>
  <si>
    <t>PAPA FRANCESA</t>
  </si>
  <si>
    <t>TIRAMISU</t>
  </si>
  <si>
    <t>MASCARPONE</t>
  </si>
  <si>
    <t xml:space="preserve">LICOR DE CAFÉ </t>
  </si>
  <si>
    <t>EXPRESO</t>
  </si>
  <si>
    <t>LADY FINGER</t>
  </si>
  <si>
    <t>COCOA POLVO</t>
  </si>
  <si>
    <t>ZANAHORIA</t>
  </si>
  <si>
    <t xml:space="preserve">REPOLLO </t>
  </si>
  <si>
    <t>COLESTLAW PARA 2</t>
  </si>
  <si>
    <t>LECHE CONDENSADA</t>
  </si>
  <si>
    <t>MAYONESA</t>
  </si>
  <si>
    <t>MAYONESA ARTESANAL</t>
  </si>
  <si>
    <t>HUEVO</t>
  </si>
  <si>
    <t>MOSTAZA</t>
  </si>
  <si>
    <t xml:space="preserve">ACEITE SOYA </t>
  </si>
  <si>
    <t>TARDEO</t>
  </si>
  <si>
    <t>WRAPP</t>
  </si>
  <si>
    <t>COLOSO /PALMEÑO</t>
  </si>
  <si>
    <t>QUESADILLA</t>
  </si>
  <si>
    <t xml:space="preserve">TORTILLA </t>
  </si>
  <si>
    <t xml:space="preserve">UND </t>
  </si>
  <si>
    <t>QUESO</t>
  </si>
  <si>
    <t xml:space="preserve">CHORIZO </t>
  </si>
  <si>
    <t>ARROZ</t>
  </si>
  <si>
    <t xml:space="preserve">CEBOLLA  </t>
  </si>
  <si>
    <t xml:space="preserve">ALVERJAS </t>
  </si>
  <si>
    <t>GUISO</t>
  </si>
  <si>
    <t>PAPAS FRANCESAS</t>
  </si>
  <si>
    <t>POLLO</t>
  </si>
  <si>
    <t>ARROZ POLLO</t>
  </si>
  <si>
    <t>ARROZ MIXTO</t>
  </si>
  <si>
    <t>CADERITA</t>
  </si>
  <si>
    <t>ARROCES</t>
  </si>
  <si>
    <t>ARROZ CON POLLO</t>
  </si>
  <si>
    <t>ARROZ CON CAMARON</t>
  </si>
  <si>
    <t xml:space="preserve">EL DORADO </t>
  </si>
  <si>
    <t xml:space="preserve">ACETIE DE OLIVA </t>
  </si>
  <si>
    <t>TOCINETA</t>
  </si>
  <si>
    <t xml:space="preserve">CHAMPIÑON </t>
  </si>
  <si>
    <t>SAL MARINA</t>
  </si>
  <si>
    <t>PIMIENTA NEGRA</t>
  </si>
  <si>
    <t>AJO PICADO</t>
  </si>
  <si>
    <t>PEREJIL FRESCO</t>
  </si>
  <si>
    <t>LOMO DE RES RELLENO</t>
  </si>
  <si>
    <t>LOMO DE CERDO AL HORNO</t>
  </si>
  <si>
    <t xml:space="preserve">LOMO DE CERDO </t>
  </si>
  <si>
    <t>ACEITE SOYA</t>
  </si>
  <si>
    <t>LOMO DE RES (REDONDO)</t>
  </si>
  <si>
    <t>CREMOSO DE PAPA</t>
  </si>
  <si>
    <t>PAPA PARDA</t>
  </si>
  <si>
    <t>PASTA AJO</t>
  </si>
  <si>
    <t>MANTEQUILLA</t>
  </si>
  <si>
    <t>JUGO DE NARANJA</t>
  </si>
  <si>
    <t>UCHUVA</t>
  </si>
  <si>
    <t>ANIS ESTRELLADO</t>
  </si>
  <si>
    <t>SALSA FRUTOS AMARILLOS</t>
  </si>
  <si>
    <t>NAVIDEÑO</t>
  </si>
  <si>
    <t>ARROZ BLANCO</t>
  </si>
  <si>
    <t>PLATO NAVIDEÑO</t>
  </si>
  <si>
    <t>MANJAR BLANCO</t>
  </si>
  <si>
    <t>DES AMARGADO</t>
  </si>
  <si>
    <t>HOJALDRA</t>
  </si>
  <si>
    <t>NATILLA</t>
  </si>
  <si>
    <t>VINO</t>
  </si>
  <si>
    <t>SODA</t>
  </si>
  <si>
    <t>CANADA DRY</t>
  </si>
  <si>
    <t>Plato Navideño</t>
  </si>
  <si>
    <t xml:space="preserve">Limonada </t>
  </si>
  <si>
    <t>PAQUETE NAVIDAD</t>
  </si>
  <si>
    <t>Reserva para 80 personas</t>
  </si>
  <si>
    <t>Precio venta</t>
  </si>
  <si>
    <t>Costo</t>
  </si>
  <si>
    <t>Utilidad</t>
  </si>
  <si>
    <t xml:space="preserve">malta </t>
  </si>
  <si>
    <t>cañaveral</t>
  </si>
  <si>
    <t>Churrasco 350 gr</t>
  </si>
  <si>
    <t>Punta 350 gr</t>
  </si>
  <si>
    <t>Cervezas</t>
  </si>
  <si>
    <t>Corona</t>
  </si>
  <si>
    <t>Stella</t>
  </si>
  <si>
    <t>Clud dorada</t>
  </si>
  <si>
    <t>Michelado</t>
  </si>
  <si>
    <t>Costo total</t>
  </si>
  <si>
    <t>Costo Und</t>
  </si>
  <si>
    <t>Aborrajados 2</t>
  </si>
  <si>
    <t>total de la venta</t>
  </si>
  <si>
    <t>invercion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</si>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</sst>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_-;_-@"/>
    <numFmt numFmtId="165" formatCode="&quot;$&quot;\ #,##0.00;[Red]&quot;$&quot;\ #,##0.00"/>
    <numFmt numFmtId="166" formatCode="_-&quot;$&quot;* #,##0_-;\-&quot;$&quot;* #,##0_-;_-&quot;$&quot;* &quot;-&quot;_-;_-@_-"/>
    <numFmt numFmtId="167" formatCode="_-&quot;$&quot;* #,##0_-;\-&quot;$&quot;* #,##0_-;_-&quot;$&quot;* &quot;-&quot;??_-;_-@_-"/>
    <numFmt numFmtId="168" formatCode="&quot;$&quot;#,##0"/>
    <numFmt numFmtId="169" formatCode="_-&quot;$&quot;\ * #,##0_-;\-&quot;$&quot;\ * #,##0_-;_-&quot;$&quot;\ * &quot;-&quot;??_-;_-@_-"/>
    <numFmt numFmtId="170" formatCode="_(&quot;$&quot;* #,##0_);_(&quot;$&quot;* \(#,##0\);_(&quot;$&quot;* &quot;-&quot;??_);_(@_)"/>
    <numFmt numFmtId="171" formatCode="_-* #,##0_-;\-* #,##0_-;_-* &quot;-&quot;??_-;_-@_-"/>
    <numFmt numFmtId="172" formatCode="_-&quot;$&quot;\ * #,##0.0_-;\-&quot;$&quot;\ * #,##0.0_-;_-&quot;$&quot;\ * &quot;-&quot;??_-;_-@_-"/>
    <numFmt numFmtId="173" formatCode="_-&quot;$&quot;* #,##0.0_-;\-&quot;$&quot;* #,##0.0_-;_-&quot;$&quot;* &quot;-&quot;_-;_-@"/>
    <numFmt numFmtId="174" formatCode="0.0"/>
    <numFmt numFmtId="175" formatCode="&quot;$&quot;\ #,##0;[Red]&quot;$&quot;\ #,##0"/>
    <numFmt numFmtId="176" formatCode="&quot;$&quot;\ #,##0"/>
    <numFmt numFmtId="177" formatCode="_-&quot;$&quot;* #,##0.00_-;\-&quot;$&quot;* #,##0.00_-;_-&quot;$&quot;* &quot;-&quot;_-;_-@"/>
    <numFmt numFmtId="178" formatCode="&quot;$&quot;\ #,##0.0;[Red]&quot;$&quot;\ #,##0.0"/>
  </numFmts>
  <fonts count="4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6"/>
      <name val="Arial"/>
      <family val="2"/>
      <scheme val="minor"/>
    </font>
    <font>
      <sz val="8"/>
      <name val="Calibri"/>
      <family val="2"/>
    </font>
    <font>
      <b/>
      <sz val="8"/>
      <name val="Calibri"/>
      <family val="2"/>
    </font>
    <font>
      <b/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name val="Arial"/>
      <family val="2"/>
      <scheme val="minor"/>
    </font>
    <font>
      <b/>
      <sz val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i/>
      <sz val="11"/>
      <name val="Arial"/>
      <family val="2"/>
      <scheme val="minor"/>
    </font>
    <font>
      <b/>
      <sz val="11"/>
      <color theme="2"/>
      <name val="Arial"/>
      <family val="2"/>
      <scheme val="minor"/>
    </font>
    <font>
      <b/>
      <sz val="11"/>
      <color indexed="8"/>
      <name val="Arial"/>
      <family val="2"/>
      <scheme val="minor"/>
    </font>
    <font>
      <sz val="11"/>
      <color indexed="8"/>
      <name val="Arial"/>
      <family val="2"/>
      <scheme val="minor"/>
    </font>
    <font>
      <sz val="9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7070223090304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3" fillId="0" borderId="0"/>
    <xf numFmtId="166" fontId="13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417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right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14" fontId="9" fillId="0" borderId="7" xfId="0" applyNumberFormat="1" applyFont="1" applyBorder="1"/>
    <xf numFmtId="0" fontId="9" fillId="0" borderId="10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64" fontId="9" fillId="0" borderId="16" xfId="0" applyNumberFormat="1" applyFont="1" applyBorder="1"/>
    <xf numFmtId="0" fontId="9" fillId="0" borderId="13" xfId="0" applyFont="1" applyBorder="1" applyAlignment="1">
      <alignment horizontal="center"/>
    </xf>
    <xf numFmtId="164" fontId="9" fillId="0" borderId="16" xfId="0" applyNumberFormat="1" applyFont="1" applyBorder="1" applyAlignment="1">
      <alignment horizontal="left"/>
    </xf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9" fillId="0" borderId="23" xfId="0" applyNumberFormat="1" applyFont="1" applyBorder="1"/>
    <xf numFmtId="0" fontId="9" fillId="0" borderId="20" xfId="0" applyFont="1" applyBorder="1" applyAlignment="1">
      <alignment horizontal="center"/>
    </xf>
    <xf numFmtId="164" fontId="9" fillId="0" borderId="23" xfId="0" applyNumberFormat="1" applyFont="1" applyBorder="1" applyAlignment="1">
      <alignment horizontal="left"/>
    </xf>
    <xf numFmtId="0" fontId="9" fillId="0" borderId="24" xfId="0" applyFont="1" applyBorder="1"/>
    <xf numFmtId="0" fontId="9" fillId="0" borderId="25" xfId="0" applyFont="1" applyBorder="1"/>
    <xf numFmtId="164" fontId="9" fillId="0" borderId="26" xfId="0" applyNumberFormat="1" applyFont="1" applyBorder="1"/>
    <xf numFmtId="0" fontId="9" fillId="0" borderId="27" xfId="0" applyFont="1" applyBorder="1"/>
    <xf numFmtId="164" fontId="9" fillId="0" borderId="29" xfId="0" applyNumberFormat="1" applyFont="1" applyBorder="1"/>
    <xf numFmtId="1" fontId="11" fillId="0" borderId="22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65" fontId="11" fillId="0" borderId="20" xfId="0" applyNumberFormat="1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164" fontId="9" fillId="0" borderId="37" xfId="0" applyNumberFormat="1" applyFont="1" applyBorder="1"/>
    <xf numFmtId="1" fontId="9" fillId="0" borderId="38" xfId="0" applyNumberFormat="1" applyFont="1" applyBorder="1" applyAlignment="1">
      <alignment horizontal="center"/>
    </xf>
    <xf numFmtId="164" fontId="9" fillId="0" borderId="37" xfId="0" applyNumberFormat="1" applyFont="1" applyBorder="1" applyAlignment="1">
      <alignment horizontal="left"/>
    </xf>
    <xf numFmtId="0" fontId="9" fillId="0" borderId="13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0" borderId="20" xfId="0" applyFont="1" applyBorder="1"/>
    <xf numFmtId="0" fontId="9" fillId="0" borderId="21" xfId="0" applyFont="1" applyBorder="1"/>
    <xf numFmtId="0" fontId="9" fillId="0" borderId="21" xfId="0" applyFont="1" applyBorder="1" applyAlignment="1">
      <alignment horizontal="right"/>
    </xf>
    <xf numFmtId="0" fontId="9" fillId="0" borderId="22" xfId="0" applyFont="1" applyBorder="1" applyAlignment="1">
      <alignment horizontal="right"/>
    </xf>
    <xf numFmtId="0" fontId="9" fillId="0" borderId="30" xfId="0" applyFont="1" applyBorder="1" applyAlignment="1">
      <alignment horizontal="right"/>
    </xf>
    <xf numFmtId="0" fontId="9" fillId="0" borderId="32" xfId="0" applyFont="1" applyBorder="1"/>
    <xf numFmtId="0" fontId="9" fillId="0" borderId="27" xfId="0" applyFont="1" applyBorder="1" applyAlignment="1">
      <alignment horizontal="right"/>
    </xf>
    <xf numFmtId="0" fontId="9" fillId="0" borderId="5" xfId="0" applyFont="1" applyBorder="1" applyAlignment="1">
      <alignment horizontal="center"/>
    </xf>
    <xf numFmtId="9" fontId="9" fillId="0" borderId="23" xfId="0" applyNumberFormat="1" applyFont="1" applyBorder="1" applyAlignment="1">
      <alignment horizontal="center"/>
    </xf>
    <xf numFmtId="9" fontId="9" fillId="0" borderId="37" xfId="0" applyNumberFormat="1" applyFont="1" applyBorder="1" applyAlignment="1">
      <alignment horizontal="center"/>
    </xf>
    <xf numFmtId="0" fontId="10" fillId="0" borderId="21" xfId="0" applyFont="1" applyBorder="1"/>
    <xf numFmtId="0" fontId="10" fillId="0" borderId="22" xfId="0" applyFont="1" applyBorder="1"/>
    <xf numFmtId="0" fontId="14" fillId="0" borderId="20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164" fontId="15" fillId="0" borderId="16" xfId="0" applyNumberFormat="1" applyFont="1" applyBorder="1"/>
    <xf numFmtId="164" fontId="15" fillId="0" borderId="23" xfId="0" applyNumberFormat="1" applyFont="1" applyBorder="1"/>
    <xf numFmtId="164" fontId="18" fillId="0" borderId="23" xfId="0" applyNumberFormat="1" applyFont="1" applyBorder="1"/>
    <xf numFmtId="164" fontId="18" fillId="0" borderId="23" xfId="0" applyNumberFormat="1" applyFont="1" applyBorder="1" applyAlignment="1">
      <alignment horizontal="left"/>
    </xf>
    <xf numFmtId="2" fontId="19" fillId="0" borderId="20" xfId="0" applyNumberFormat="1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/>
    </xf>
    <xf numFmtId="165" fontId="14" fillId="0" borderId="20" xfId="0" applyNumberFormat="1" applyFont="1" applyBorder="1" applyAlignment="1">
      <alignment horizontal="center"/>
    </xf>
    <xf numFmtId="9" fontId="9" fillId="3" borderId="23" xfId="0" applyNumberFormat="1" applyFont="1" applyFill="1" applyBorder="1" applyAlignment="1">
      <alignment horizontal="center"/>
    </xf>
    <xf numFmtId="164" fontId="9" fillId="4" borderId="23" xfId="0" applyNumberFormat="1" applyFont="1" applyFill="1" applyBorder="1"/>
    <xf numFmtId="164" fontId="9" fillId="3" borderId="23" xfId="0" applyNumberFormat="1" applyFont="1" applyFill="1" applyBorder="1" applyAlignment="1">
      <alignment horizontal="left"/>
    </xf>
    <xf numFmtId="0" fontId="21" fillId="0" borderId="40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 wrapText="1"/>
    </xf>
    <xf numFmtId="0" fontId="21" fillId="5" borderId="40" xfId="0" applyFont="1" applyFill="1" applyBorder="1" applyAlignment="1">
      <alignment horizontal="center" vertical="center" wrapText="1"/>
    </xf>
    <xf numFmtId="0" fontId="21" fillId="6" borderId="40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167" fontId="0" fillId="8" borderId="0" xfId="3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9" fontId="0" fillId="10" borderId="0" xfId="4" applyFont="1" applyFill="1"/>
    <xf numFmtId="168" fontId="0" fillId="0" borderId="0" xfId="0" applyNumberFormat="1"/>
    <xf numFmtId="0" fontId="0" fillId="11" borderId="0" xfId="0" applyFill="1"/>
    <xf numFmtId="0" fontId="9" fillId="0" borderId="9" xfId="0" applyFont="1" applyBorder="1" applyAlignment="1">
      <alignment horizontal="right"/>
    </xf>
    <xf numFmtId="169" fontId="0" fillId="0" borderId="0" xfId="3" applyNumberFormat="1" applyFont="1"/>
    <xf numFmtId="169" fontId="0" fillId="0" borderId="0" xfId="0" applyNumberFormat="1"/>
    <xf numFmtId="0" fontId="24" fillId="12" borderId="40" xfId="0" applyFont="1" applyFill="1" applyBorder="1" applyAlignment="1">
      <alignment wrapText="1"/>
    </xf>
    <xf numFmtId="0" fontId="22" fillId="12" borderId="42" xfId="0" applyFont="1" applyFill="1" applyBorder="1" applyAlignment="1">
      <alignment horizontal="center" vertical="top" wrapText="1"/>
    </xf>
    <xf numFmtId="0" fontId="24" fillId="12" borderId="42" xfId="0" applyFont="1" applyFill="1" applyBorder="1" applyAlignment="1">
      <alignment horizontal="center" wrapText="1"/>
    </xf>
    <xf numFmtId="0" fontId="24" fillId="12" borderId="40" xfId="0" applyFont="1" applyFill="1" applyBorder="1" applyAlignment="1">
      <alignment horizontal="left" wrapText="1"/>
    </xf>
    <xf numFmtId="0" fontId="24" fillId="12" borderId="42" xfId="0" applyFont="1" applyFill="1" applyBorder="1" applyAlignment="1">
      <alignment wrapText="1"/>
    </xf>
    <xf numFmtId="0" fontId="24" fillId="12" borderId="42" xfId="0" applyFont="1" applyFill="1" applyBorder="1" applyAlignment="1">
      <alignment horizontal="center" vertical="center" wrapText="1"/>
    </xf>
    <xf numFmtId="0" fontId="24" fillId="12" borderId="43" xfId="0" applyFont="1" applyFill="1" applyBorder="1" applyAlignment="1">
      <alignment vertical="center" wrapText="1"/>
    </xf>
    <xf numFmtId="0" fontId="22" fillId="12" borderId="41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40" xfId="0" applyFont="1" applyBorder="1"/>
    <xf numFmtId="0" fontId="10" fillId="0" borderId="40" xfId="0" applyFont="1" applyBorder="1"/>
    <xf numFmtId="0" fontId="11" fillId="0" borderId="40" xfId="0" applyFont="1" applyBorder="1" applyAlignment="1">
      <alignment vertical="center"/>
    </xf>
    <xf numFmtId="0" fontId="22" fillId="12" borderId="44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22" fillId="12" borderId="40" xfId="0" applyFont="1" applyFill="1" applyBorder="1" applyAlignment="1">
      <alignment horizontal="center" wrapText="1"/>
    </xf>
    <xf numFmtId="0" fontId="22" fillId="12" borderId="40" xfId="0" applyFont="1" applyFill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/>
    </xf>
    <xf numFmtId="9" fontId="11" fillId="0" borderId="41" xfId="0" applyNumberFormat="1" applyFont="1" applyBorder="1" applyAlignment="1">
      <alignment vertical="center"/>
    </xf>
    <xf numFmtId="169" fontId="11" fillId="0" borderId="41" xfId="3" applyNumberFormat="1" applyFont="1" applyBorder="1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40" xfId="0" applyFont="1" applyBorder="1"/>
    <xf numFmtId="0" fontId="27" fillId="14" borderId="48" xfId="1" applyFont="1" applyFill="1" applyBorder="1" applyAlignment="1">
      <alignment horizontal="center" vertical="center"/>
    </xf>
    <xf numFmtId="0" fontId="28" fillId="14" borderId="48" xfId="1" applyFont="1" applyFill="1" applyBorder="1" applyAlignment="1">
      <alignment horizontal="center" vertical="center" wrapText="1"/>
    </xf>
    <xf numFmtId="169" fontId="29" fillId="14" borderId="48" xfId="0" applyNumberFormat="1" applyFont="1" applyFill="1" applyBorder="1" applyAlignment="1">
      <alignment horizontal="center" vertical="center" wrapText="1"/>
    </xf>
    <xf numFmtId="170" fontId="8" fillId="12" borderId="0" xfId="3" applyNumberFormat="1" applyFont="1" applyFill="1" applyBorder="1" applyAlignment="1" applyProtection="1">
      <alignment horizontal="center"/>
      <protection locked="0"/>
    </xf>
    <xf numFmtId="170" fontId="8" fillId="12" borderId="42" xfId="3" applyNumberFormat="1" applyFont="1" applyFill="1" applyBorder="1" applyAlignment="1" applyProtection="1">
      <alignment horizontal="center"/>
      <protection locked="0"/>
    </xf>
    <xf numFmtId="0" fontId="8" fillId="12" borderId="0" xfId="6" applyFill="1" applyAlignment="1" applyProtection="1">
      <alignment horizontal="left"/>
      <protection locked="0"/>
    </xf>
    <xf numFmtId="0" fontId="0" fillId="12" borderId="49" xfId="0" applyFill="1" applyBorder="1" applyAlignment="1" applyProtection="1">
      <alignment horizontal="left"/>
      <protection locked="0"/>
    </xf>
    <xf numFmtId="0" fontId="28" fillId="15" borderId="51" xfId="1" applyFont="1" applyFill="1" applyBorder="1" applyAlignment="1">
      <alignment horizontal="center" vertical="center"/>
    </xf>
    <xf numFmtId="171" fontId="29" fillId="14" borderId="48" xfId="0" applyNumberFormat="1" applyFont="1" applyFill="1" applyBorder="1" applyAlignment="1">
      <alignment horizontal="center" vertical="center" wrapText="1"/>
    </xf>
    <xf numFmtId="171" fontId="8" fillId="12" borderId="42" xfId="5" applyNumberFormat="1" applyFont="1" applyFill="1" applyBorder="1" applyAlignment="1" applyProtection="1">
      <alignment horizontal="center"/>
      <protection locked="0"/>
    </xf>
    <xf numFmtId="171" fontId="0" fillId="0" borderId="0" xfId="0" applyNumberFormat="1"/>
    <xf numFmtId="0" fontId="30" fillId="12" borderId="49" xfId="0" applyFont="1" applyFill="1" applyBorder="1" applyAlignment="1" applyProtection="1">
      <alignment horizontal="left"/>
      <protection locked="0"/>
    </xf>
    <xf numFmtId="0" fontId="30" fillId="0" borderId="0" xfId="0" applyFont="1"/>
    <xf numFmtId="171" fontId="8" fillId="12" borderId="49" xfId="5" applyNumberFormat="1" applyFont="1" applyFill="1" applyBorder="1" applyAlignment="1" applyProtection="1">
      <alignment horizontal="center"/>
      <protection locked="0"/>
    </xf>
    <xf numFmtId="0" fontId="30" fillId="12" borderId="0" xfId="0" applyFont="1" applyFill="1" applyAlignment="1" applyProtection="1">
      <alignment horizontal="left"/>
      <protection locked="0"/>
    </xf>
    <xf numFmtId="0" fontId="7" fillId="12" borderId="0" xfId="6" applyFont="1" applyFill="1" applyAlignment="1" applyProtection="1">
      <alignment horizontal="left"/>
      <protection locked="0"/>
    </xf>
    <xf numFmtId="0" fontId="0" fillId="12" borderId="0" xfId="0" applyFill="1" applyAlignment="1" applyProtection="1">
      <alignment horizontal="left"/>
      <protection locked="0"/>
    </xf>
    <xf numFmtId="171" fontId="8" fillId="12" borderId="0" xfId="5" applyNumberFormat="1" applyFont="1" applyFill="1" applyBorder="1" applyAlignment="1" applyProtection="1">
      <alignment horizontal="center"/>
      <protection locked="0"/>
    </xf>
    <xf numFmtId="0" fontId="6" fillId="12" borderId="0" xfId="6" applyFont="1" applyFill="1" applyAlignment="1" applyProtection="1">
      <alignment horizontal="left"/>
      <protection locked="0"/>
    </xf>
    <xf numFmtId="0" fontId="31" fillId="12" borderId="0" xfId="6" applyFont="1" applyFill="1" applyAlignment="1" applyProtection="1">
      <alignment horizontal="center"/>
      <protection locked="0"/>
    </xf>
    <xf numFmtId="170" fontId="8" fillId="12" borderId="49" xfId="3" applyNumberFormat="1" applyFont="1" applyFill="1" applyBorder="1" applyAlignment="1" applyProtection="1">
      <alignment horizontal="center"/>
      <protection locked="0"/>
    </xf>
    <xf numFmtId="0" fontId="32" fillId="12" borderId="49" xfId="0" applyFont="1" applyFill="1" applyBorder="1" applyAlignment="1" applyProtection="1">
      <alignment horizontal="left"/>
      <protection locked="0"/>
    </xf>
    <xf numFmtId="172" fontId="0" fillId="0" borderId="0" xfId="3" applyNumberFormat="1" applyFont="1"/>
    <xf numFmtId="172" fontId="29" fillId="14" borderId="48" xfId="3" applyNumberFormat="1" applyFont="1" applyFill="1" applyBorder="1" applyAlignment="1">
      <alignment horizontal="center" vertical="center" wrapText="1"/>
    </xf>
    <xf numFmtId="0" fontId="33" fillId="12" borderId="49" xfId="0" applyFont="1" applyFill="1" applyBorder="1" applyAlignment="1" applyProtection="1">
      <alignment horizontal="left"/>
      <protection locked="0"/>
    </xf>
    <xf numFmtId="0" fontId="5" fillId="12" borderId="0" xfId="6" applyFont="1" applyFill="1" applyAlignment="1" applyProtection="1">
      <alignment horizontal="left"/>
      <protection locked="0"/>
    </xf>
    <xf numFmtId="164" fontId="9" fillId="0" borderId="0" xfId="0" applyNumberFormat="1" applyFont="1"/>
    <xf numFmtId="173" fontId="9" fillId="0" borderId="0" xfId="0" applyNumberFormat="1" applyFont="1"/>
    <xf numFmtId="169" fontId="9" fillId="0" borderId="0" xfId="3" applyNumberFormat="1" applyFont="1"/>
    <xf numFmtId="9" fontId="9" fillId="0" borderId="0" xfId="4" applyFont="1"/>
    <xf numFmtId="0" fontId="4" fillId="12" borderId="0" xfId="6" applyFont="1" applyFill="1" applyAlignment="1" applyProtection="1">
      <alignment horizontal="left"/>
      <protection locked="0"/>
    </xf>
    <xf numFmtId="169" fontId="4" fillId="12" borderId="0" xfId="3" applyNumberFormat="1" applyFont="1" applyFill="1" applyAlignment="1" applyProtection="1">
      <alignment horizontal="center"/>
      <protection locked="0"/>
    </xf>
    <xf numFmtId="0" fontId="34" fillId="0" borderId="0" xfId="0" applyFont="1"/>
    <xf numFmtId="14" fontId="34" fillId="0" borderId="0" xfId="3" applyNumberFormat="1" applyFont="1"/>
    <xf numFmtId="0" fontId="3" fillId="12" borderId="0" xfId="6" applyFont="1" applyFill="1" applyAlignment="1" applyProtection="1">
      <alignment horizontal="left"/>
      <protection locked="0"/>
    </xf>
    <xf numFmtId="0" fontId="31" fillId="12" borderId="0" xfId="6" applyFont="1" applyFill="1" applyProtection="1">
      <protection locked="0"/>
    </xf>
    <xf numFmtId="170" fontId="25" fillId="12" borderId="42" xfId="3" applyNumberFormat="1" applyFont="1" applyFill="1" applyBorder="1" applyAlignment="1" applyProtection="1">
      <alignment horizontal="center"/>
      <protection locked="0"/>
    </xf>
    <xf numFmtId="170" fontId="2" fillId="12" borderId="42" xfId="3" applyNumberFormat="1" applyFont="1" applyFill="1" applyBorder="1" applyAlignment="1" applyProtection="1">
      <alignment horizontal="center"/>
      <protection locked="0"/>
    </xf>
    <xf numFmtId="0" fontId="2" fillId="12" borderId="0" xfId="6" applyFont="1" applyFill="1" applyAlignment="1" applyProtection="1">
      <alignment horizontal="left"/>
      <protection locked="0"/>
    </xf>
    <xf numFmtId="2" fontId="11" fillId="0" borderId="22" xfId="0" applyNumberFormat="1" applyFont="1" applyBorder="1" applyAlignment="1">
      <alignment horizontal="center" vertical="center"/>
    </xf>
    <xf numFmtId="0" fontId="22" fillId="12" borderId="52" xfId="0" applyFont="1" applyFill="1" applyBorder="1" applyAlignment="1">
      <alignment vertical="center" wrapText="1"/>
    </xf>
    <xf numFmtId="0" fontId="35" fillId="0" borderId="45" xfId="0" applyFont="1" applyBorder="1" applyAlignment="1">
      <alignment horizontal="center" vertical="center"/>
    </xf>
    <xf numFmtId="176" fontId="11" fillId="0" borderId="40" xfId="3" applyNumberFormat="1" applyFont="1" applyBorder="1" applyAlignment="1">
      <alignment horizontal="center" vertical="center"/>
    </xf>
    <xf numFmtId="0" fontId="36" fillId="12" borderId="40" xfId="0" applyFont="1" applyFill="1" applyBorder="1" applyAlignment="1">
      <alignment wrapText="1"/>
    </xf>
    <xf numFmtId="0" fontId="18" fillId="0" borderId="40" xfId="0" applyFont="1" applyBorder="1" applyAlignment="1">
      <alignment horizontal="center" vertical="center" wrapText="1"/>
    </xf>
    <xf numFmtId="176" fontId="14" fillId="0" borderId="40" xfId="3" applyNumberFormat="1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 wrapText="1"/>
    </xf>
    <xf numFmtId="0" fontId="16" fillId="0" borderId="40" xfId="0" applyFont="1" applyBorder="1" applyAlignment="1">
      <alignment wrapText="1"/>
    </xf>
    <xf numFmtId="0" fontId="37" fillId="12" borderId="40" xfId="0" applyFont="1" applyFill="1" applyBorder="1" applyAlignment="1">
      <alignment vertical="center" wrapText="1"/>
    </xf>
    <xf numFmtId="0" fontId="36" fillId="12" borderId="40" xfId="0" applyFont="1" applyFill="1" applyBorder="1" applyAlignment="1">
      <alignment vertical="center" wrapText="1"/>
    </xf>
    <xf numFmtId="0" fontId="34" fillId="12" borderId="40" xfId="0" applyFont="1" applyFill="1" applyBorder="1" applyAlignment="1">
      <alignment vertical="center"/>
    </xf>
    <xf numFmtId="9" fontId="11" fillId="0" borderId="46" xfId="0" applyNumberFormat="1" applyFont="1" applyBorder="1" applyAlignment="1">
      <alignment horizontal="center" vertical="center"/>
    </xf>
    <xf numFmtId="9" fontId="36" fillId="12" borderId="46" xfId="0" applyNumberFormat="1" applyFont="1" applyFill="1" applyBorder="1" applyAlignment="1">
      <alignment horizontal="center" vertical="center" wrapText="1"/>
    </xf>
    <xf numFmtId="0" fontId="16" fillId="0" borderId="45" xfId="0" applyFont="1" applyBorder="1" applyAlignment="1">
      <alignment vertical="center"/>
    </xf>
    <xf numFmtId="0" fontId="36" fillId="12" borderId="45" xfId="0" applyFont="1" applyFill="1" applyBorder="1" applyAlignment="1">
      <alignment vertical="center" wrapText="1"/>
    </xf>
    <xf numFmtId="0" fontId="36" fillId="12" borderId="45" xfId="0" applyFont="1" applyFill="1" applyBorder="1" applyAlignment="1">
      <alignment wrapText="1"/>
    </xf>
    <xf numFmtId="0" fontId="22" fillId="12" borderId="46" xfId="0" applyFont="1" applyFill="1" applyBorder="1" applyAlignment="1">
      <alignment horizontal="center" vertical="center" wrapText="1"/>
    </xf>
    <xf numFmtId="0" fontId="22" fillId="12" borderId="45" xfId="0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vertical="center"/>
    </xf>
    <xf numFmtId="0" fontId="40" fillId="0" borderId="40" xfId="0" applyFont="1" applyBorder="1" applyAlignment="1">
      <alignment vertical="center"/>
    </xf>
    <xf numFmtId="9" fontId="14" fillId="0" borderId="46" xfId="0" applyNumberFormat="1" applyFont="1" applyBorder="1" applyAlignment="1">
      <alignment horizontal="center" vertical="center"/>
    </xf>
    <xf numFmtId="0" fontId="1" fillId="12" borderId="0" xfId="6" applyFont="1" applyFill="1" applyAlignment="1" applyProtection="1">
      <alignment horizontal="left"/>
      <protection locked="0"/>
    </xf>
    <xf numFmtId="170" fontId="24" fillId="12" borderId="42" xfId="3" applyNumberFormat="1" applyFont="1" applyFill="1" applyBorder="1" applyAlignment="1" applyProtection="1">
      <alignment horizontal="center"/>
      <protection locked="0"/>
    </xf>
    <xf numFmtId="0" fontId="31" fillId="12" borderId="0" xfId="6" applyFont="1" applyFill="1" applyAlignment="1" applyProtection="1">
      <alignment horizontal="left"/>
      <protection locked="0"/>
    </xf>
    <xf numFmtId="0" fontId="32" fillId="12" borderId="0" xfId="0" applyFont="1" applyFill="1" applyAlignment="1" applyProtection="1">
      <alignment horizontal="left"/>
      <protection locked="0"/>
    </xf>
    <xf numFmtId="170" fontId="25" fillId="12" borderId="0" xfId="3" applyNumberFormat="1" applyFont="1" applyFill="1" applyBorder="1" applyAlignment="1" applyProtection="1">
      <alignment horizontal="center"/>
      <protection locked="0"/>
    </xf>
    <xf numFmtId="0" fontId="31" fillId="12" borderId="0" xfId="6" applyFont="1" applyFill="1" applyAlignment="1" applyProtection="1">
      <alignment horizontal="left" wrapText="1"/>
      <protection locked="0"/>
    </xf>
    <xf numFmtId="0" fontId="31" fillId="12" borderId="0" xfId="6" applyFont="1" applyFill="1" applyAlignment="1" applyProtection="1">
      <alignment wrapText="1"/>
      <protection locked="0"/>
    </xf>
    <xf numFmtId="0" fontId="21" fillId="12" borderId="0" xfId="6" applyFont="1" applyFill="1" applyProtection="1">
      <protection locked="0"/>
    </xf>
    <xf numFmtId="169" fontId="0" fillId="12" borderId="49" xfId="3" applyNumberFormat="1" applyFont="1" applyFill="1" applyBorder="1" applyAlignment="1" applyProtection="1">
      <alignment horizontal="left"/>
      <protection locked="0"/>
    </xf>
    <xf numFmtId="169" fontId="30" fillId="12" borderId="49" xfId="3" applyNumberFormat="1" applyFont="1" applyFill="1" applyBorder="1" applyAlignment="1" applyProtection="1">
      <alignment horizontal="left"/>
      <protection locked="0"/>
    </xf>
    <xf numFmtId="170" fontId="8" fillId="12" borderId="49" xfId="3" applyNumberFormat="1" applyFont="1" applyFill="1" applyBorder="1" applyAlignment="1" applyProtection="1">
      <alignment horizontal="left"/>
      <protection locked="0"/>
    </xf>
    <xf numFmtId="170" fontId="8" fillId="12" borderId="42" xfId="3" applyNumberFormat="1" applyFont="1" applyFill="1" applyBorder="1" applyAlignment="1" applyProtection="1">
      <alignment horizontal="left"/>
      <protection locked="0"/>
    </xf>
    <xf numFmtId="0" fontId="22" fillId="12" borderId="42" xfId="0" applyFont="1" applyFill="1" applyBorder="1" applyAlignment="1">
      <alignment horizontal="center" vertical="center" wrapText="1"/>
    </xf>
    <xf numFmtId="0" fontId="21" fillId="12" borderId="0" xfId="6" applyFont="1" applyFill="1" applyAlignment="1" applyProtection="1">
      <alignment wrapText="1"/>
      <protection locked="0"/>
    </xf>
    <xf numFmtId="169" fontId="32" fillId="12" borderId="49" xfId="3" applyNumberFormat="1" applyFont="1" applyFill="1" applyBorder="1" applyAlignment="1" applyProtection="1">
      <alignment horizontal="left"/>
      <protection locked="0"/>
    </xf>
    <xf numFmtId="0" fontId="14" fillId="0" borderId="16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/>
    </xf>
    <xf numFmtId="0" fontId="0" fillId="12" borderId="0" xfId="0" applyFill="1"/>
    <xf numFmtId="0" fontId="11" fillId="0" borderId="40" xfId="0" applyFont="1" applyBorder="1" applyAlignment="1">
      <alignment horizontal="left"/>
    </xf>
    <xf numFmtId="0" fontId="11" fillId="0" borderId="40" xfId="0" applyFont="1" applyBorder="1" applyAlignment="1">
      <alignment horizontal="left" vertical="center"/>
    </xf>
    <xf numFmtId="0" fontId="40" fillId="0" borderId="0" xfId="0" applyFont="1"/>
    <xf numFmtId="0" fontId="43" fillId="3" borderId="40" xfId="0" applyFont="1" applyFill="1" applyBorder="1" applyAlignment="1">
      <alignment horizontal="center"/>
    </xf>
    <xf numFmtId="0" fontId="43" fillId="3" borderId="41" xfId="0" applyFont="1" applyFill="1" applyBorder="1" applyAlignment="1">
      <alignment horizontal="center"/>
    </xf>
    <xf numFmtId="169" fontId="43" fillId="3" borderId="40" xfId="3" applyNumberFormat="1" applyFont="1" applyFill="1" applyBorder="1" applyAlignment="1">
      <alignment horizontal="center"/>
    </xf>
    <xf numFmtId="0" fontId="19" fillId="0" borderId="40" xfId="0" applyFont="1" applyBorder="1" applyAlignment="1">
      <alignment horizontal="left"/>
    </xf>
    <xf numFmtId="0" fontId="19" fillId="0" borderId="40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1" fontId="19" fillId="0" borderId="40" xfId="0" applyNumberFormat="1" applyFont="1" applyBorder="1" applyAlignment="1">
      <alignment horizontal="center" vertical="center"/>
    </xf>
    <xf numFmtId="169" fontId="43" fillId="12" borderId="59" xfId="3" applyNumberFormat="1" applyFont="1" applyFill="1" applyBorder="1" applyAlignment="1">
      <alignment horizontal="left"/>
    </xf>
    <xf numFmtId="0" fontId="19" fillId="0" borderId="40" xfId="0" applyFont="1" applyBorder="1"/>
    <xf numFmtId="0" fontId="19" fillId="0" borderId="63" xfId="0" applyFont="1" applyBorder="1" applyAlignment="1">
      <alignment horizontal="left"/>
    </xf>
    <xf numFmtId="0" fontId="19" fillId="0" borderId="48" xfId="0" applyFont="1" applyBorder="1" applyAlignment="1">
      <alignment horizontal="center" vertical="center"/>
    </xf>
    <xf numFmtId="174" fontId="19" fillId="0" borderId="48" xfId="0" applyNumberFormat="1" applyFont="1" applyBorder="1" applyAlignment="1">
      <alignment horizontal="center" vertical="center"/>
    </xf>
    <xf numFmtId="169" fontId="43" fillId="12" borderId="64" xfId="3" applyNumberFormat="1" applyFont="1" applyFill="1" applyBorder="1" applyAlignment="1">
      <alignment horizontal="left"/>
    </xf>
    <xf numFmtId="1" fontId="19" fillId="0" borderId="48" xfId="0" applyNumberFormat="1" applyFont="1" applyBorder="1" applyAlignment="1">
      <alignment horizontal="center" vertical="center"/>
    </xf>
    <xf numFmtId="0" fontId="19" fillId="0" borderId="40" xfId="0" applyFont="1" applyBorder="1" applyAlignment="1">
      <alignment horizontal="left" vertical="center"/>
    </xf>
    <xf numFmtId="2" fontId="19" fillId="0" borderId="40" xfId="0" applyNumberFormat="1" applyFont="1" applyBorder="1" applyAlignment="1">
      <alignment horizontal="center" vertical="center"/>
    </xf>
    <xf numFmtId="0" fontId="19" fillId="0" borderId="40" xfId="0" applyFont="1" applyBorder="1" applyAlignment="1">
      <alignment vertical="center"/>
    </xf>
    <xf numFmtId="0" fontId="19" fillId="0" borderId="20" xfId="0" applyFont="1" applyBorder="1" applyAlignment="1">
      <alignment horizontal="left" vertical="center"/>
    </xf>
    <xf numFmtId="2" fontId="19" fillId="0" borderId="1" xfId="0" applyNumberFormat="1" applyFont="1" applyBorder="1" applyAlignment="1">
      <alignment horizontal="center" vertical="center"/>
    </xf>
    <xf numFmtId="0" fontId="19" fillId="0" borderId="40" xfId="0" applyFont="1" applyBorder="1" applyAlignment="1">
      <alignment horizontal="center"/>
    </xf>
    <xf numFmtId="0" fontId="43" fillId="3" borderId="58" xfId="0" applyFont="1" applyFill="1" applyBorder="1"/>
    <xf numFmtId="0" fontId="43" fillId="3" borderId="47" xfId="0" applyFont="1" applyFill="1" applyBorder="1"/>
    <xf numFmtId="169" fontId="43" fillId="3" borderId="59" xfId="3" applyNumberFormat="1" applyFont="1" applyFill="1" applyBorder="1" applyAlignment="1"/>
    <xf numFmtId="0" fontId="43" fillId="0" borderId="56" xfId="0" applyFont="1" applyBorder="1" applyAlignment="1">
      <alignment horizontal="left"/>
    </xf>
    <xf numFmtId="0" fontId="43" fillId="0" borderId="45" xfId="0" applyFont="1" applyBorder="1" applyAlignment="1">
      <alignment horizontal="center"/>
    </xf>
    <xf numFmtId="0" fontId="43" fillId="0" borderId="47" xfId="0" applyFont="1" applyBorder="1" applyAlignment="1">
      <alignment horizontal="center"/>
    </xf>
    <xf numFmtId="169" fontId="43" fillId="0" borderId="57" xfId="3" applyNumberFormat="1" applyFont="1" applyBorder="1" applyAlignment="1">
      <alignment horizontal="left"/>
    </xf>
    <xf numFmtId="0" fontId="43" fillId="0" borderId="40" xfId="0" applyFont="1" applyBorder="1" applyAlignment="1">
      <alignment horizontal="right"/>
    </xf>
    <xf numFmtId="0" fontId="43" fillId="0" borderId="46" xfId="0" applyFont="1" applyBorder="1" applyAlignment="1">
      <alignment horizontal="right"/>
    </xf>
    <xf numFmtId="169" fontId="43" fillId="17" borderId="57" xfId="3" applyNumberFormat="1" applyFont="1" applyFill="1" applyBorder="1" applyAlignment="1">
      <alignment horizontal="left"/>
    </xf>
    <xf numFmtId="0" fontId="21" fillId="0" borderId="56" xfId="0" applyFont="1" applyBorder="1"/>
    <xf numFmtId="164" fontId="21" fillId="0" borderId="57" xfId="0" applyNumberFormat="1" applyFont="1" applyBorder="1" applyAlignment="1">
      <alignment horizontal="left"/>
    </xf>
    <xf numFmtId="0" fontId="43" fillId="0" borderId="60" xfId="0" applyFont="1" applyBorder="1"/>
    <xf numFmtId="0" fontId="43" fillId="0" borderId="61" xfId="0" applyFont="1" applyBorder="1"/>
    <xf numFmtId="169" fontId="43" fillId="0" borderId="62" xfId="3" applyNumberFormat="1" applyFont="1" applyBorder="1"/>
    <xf numFmtId="165" fontId="11" fillId="0" borderId="40" xfId="0" applyNumberFormat="1" applyFont="1" applyBorder="1" applyAlignment="1">
      <alignment horizontal="left"/>
    </xf>
    <xf numFmtId="0" fontId="11" fillId="0" borderId="65" xfId="0" applyFont="1" applyBorder="1" applyAlignment="1">
      <alignment horizontal="left"/>
    </xf>
    <xf numFmtId="0" fontId="11" fillId="0" borderId="66" xfId="0" applyFont="1" applyBorder="1" applyAlignment="1">
      <alignment horizontal="left" vertical="center"/>
    </xf>
    <xf numFmtId="165" fontId="11" fillId="0" borderId="66" xfId="0" applyNumberFormat="1" applyFont="1" applyBorder="1" applyAlignment="1">
      <alignment horizontal="left"/>
    </xf>
    <xf numFmtId="0" fontId="11" fillId="0" borderId="66" xfId="0" applyFont="1" applyBorder="1" applyAlignment="1">
      <alignment horizontal="left"/>
    </xf>
    <xf numFmtId="0" fontId="14" fillId="0" borderId="66" xfId="0" applyFont="1" applyBorder="1" applyAlignment="1">
      <alignment horizontal="left" vertical="center"/>
    </xf>
    <xf numFmtId="0" fontId="11" fillId="0" borderId="68" xfId="0" applyFont="1" applyBorder="1" applyAlignment="1">
      <alignment horizontal="left"/>
    </xf>
    <xf numFmtId="0" fontId="14" fillId="0" borderId="69" xfId="0" applyFont="1" applyBorder="1" applyAlignment="1">
      <alignment horizontal="left" vertical="center"/>
    </xf>
    <xf numFmtId="0" fontId="11" fillId="0" borderId="69" xfId="0" applyFont="1" applyBorder="1" applyAlignment="1">
      <alignment horizontal="left" vertical="center"/>
    </xf>
    <xf numFmtId="0" fontId="14" fillId="0" borderId="68" xfId="0" applyFont="1" applyBorder="1" applyAlignment="1">
      <alignment horizontal="left"/>
    </xf>
    <xf numFmtId="1" fontId="12" fillId="0" borderId="65" xfId="0" applyNumberFormat="1" applyFont="1" applyBorder="1" applyAlignment="1">
      <alignment horizontal="center" vertical="center"/>
    </xf>
    <xf numFmtId="1" fontId="12" fillId="0" borderId="66" xfId="0" applyNumberFormat="1" applyFont="1" applyBorder="1" applyAlignment="1">
      <alignment horizontal="center" vertical="center"/>
    </xf>
    <xf numFmtId="2" fontId="12" fillId="0" borderId="66" xfId="0" applyNumberFormat="1" applyFont="1" applyBorder="1" applyAlignment="1">
      <alignment horizontal="center" vertical="center"/>
    </xf>
    <xf numFmtId="2" fontId="12" fillId="0" borderId="67" xfId="0" applyNumberFormat="1" applyFont="1" applyBorder="1" applyAlignment="1">
      <alignment horizontal="center" vertical="center"/>
    </xf>
    <xf numFmtId="0" fontId="11" fillId="0" borderId="70" xfId="0" applyFont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18" borderId="0" xfId="0" applyFill="1" applyAlignment="1">
      <alignment horizontal="left"/>
    </xf>
    <xf numFmtId="0" fontId="30" fillId="18" borderId="0" xfId="0" applyFont="1" applyFill="1"/>
    <xf numFmtId="168" fontId="0" fillId="18" borderId="0" xfId="0" applyNumberFormat="1" applyFill="1"/>
    <xf numFmtId="0" fontId="0" fillId="18" borderId="0" xfId="0" applyFill="1"/>
    <xf numFmtId="0" fontId="30" fillId="18" borderId="0" xfId="0" applyFont="1" applyFill="1" applyAlignment="1">
      <alignment horizontal="left"/>
    </xf>
    <xf numFmtId="1" fontId="12" fillId="0" borderId="40" xfId="0" applyNumberFormat="1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169" fontId="43" fillId="3" borderId="41" xfId="3" applyNumberFormat="1" applyFont="1" applyFill="1" applyBorder="1" applyAlignment="1">
      <alignment horizontal="center"/>
    </xf>
    <xf numFmtId="0" fontId="11" fillId="0" borderId="71" xfId="0" applyFont="1" applyBorder="1" applyAlignment="1">
      <alignment horizontal="left"/>
    </xf>
    <xf numFmtId="0" fontId="11" fillId="0" borderId="72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1" fontId="12" fillId="0" borderId="72" xfId="0" applyNumberFormat="1" applyFont="1" applyBorder="1" applyAlignment="1">
      <alignment horizontal="center" vertical="center"/>
    </xf>
    <xf numFmtId="169" fontId="43" fillId="12" borderId="55" xfId="3" applyNumberFormat="1" applyFont="1" applyFill="1" applyBorder="1" applyAlignment="1">
      <alignment horizontal="left"/>
    </xf>
    <xf numFmtId="0" fontId="11" fillId="0" borderId="74" xfId="0" applyFont="1" applyBorder="1" applyAlignment="1">
      <alignment horizontal="left" vertical="center"/>
    </xf>
    <xf numFmtId="0" fontId="11" fillId="0" borderId="75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76" xfId="0" applyFont="1" applyBorder="1" applyAlignment="1">
      <alignment horizontal="left"/>
    </xf>
    <xf numFmtId="0" fontId="11" fillId="0" borderId="56" xfId="0" applyFont="1" applyBorder="1" applyAlignment="1">
      <alignment horizontal="left"/>
    </xf>
    <xf numFmtId="0" fontId="11" fillId="0" borderId="4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" fontId="12" fillId="0" borderId="48" xfId="0" applyNumberFormat="1" applyFont="1" applyBorder="1" applyAlignment="1">
      <alignment horizontal="center" vertical="center"/>
    </xf>
    <xf numFmtId="0" fontId="11" fillId="0" borderId="40" xfId="0" applyFont="1" applyBorder="1" applyAlignment="1">
      <alignment horizontal="center"/>
    </xf>
    <xf numFmtId="0" fontId="20" fillId="18" borderId="0" xfId="0" applyFont="1" applyFill="1" applyAlignment="1">
      <alignment horizontal="left"/>
    </xf>
    <xf numFmtId="0" fontId="20" fillId="18" borderId="0" xfId="0" applyFont="1" applyFill="1"/>
    <xf numFmtId="0" fontId="11" fillId="0" borderId="77" xfId="0" applyFont="1" applyBorder="1" applyAlignment="1">
      <alignment horizontal="left"/>
    </xf>
    <xf numFmtId="0" fontId="1" fillId="12" borderId="49" xfId="6" applyFont="1" applyFill="1" applyBorder="1" applyAlignment="1" applyProtection="1">
      <alignment horizontal="left"/>
      <protection locked="0"/>
    </xf>
    <xf numFmtId="0" fontId="4" fillId="12" borderId="49" xfId="6" applyFont="1" applyFill="1" applyBorder="1" applyAlignment="1" applyProtection="1">
      <alignment horizontal="left"/>
      <protection locked="0"/>
    </xf>
    <xf numFmtId="169" fontId="4" fillId="12" borderId="42" xfId="3" applyNumberFormat="1" applyFont="1" applyFill="1" applyBorder="1" applyAlignment="1" applyProtection="1">
      <alignment horizontal="center"/>
      <protection locked="0"/>
    </xf>
    <xf numFmtId="0" fontId="4" fillId="12" borderId="42" xfId="6" applyFont="1" applyFill="1" applyBorder="1" applyAlignment="1" applyProtection="1">
      <alignment horizontal="left"/>
      <protection locked="0"/>
    </xf>
    <xf numFmtId="0" fontId="20" fillId="12" borderId="0" xfId="0" applyFont="1" applyFill="1" applyAlignment="1" applyProtection="1">
      <alignment horizontal="left"/>
      <protection locked="0"/>
    </xf>
    <xf numFmtId="169" fontId="30" fillId="12" borderId="0" xfId="3" applyNumberFormat="1" applyFont="1" applyFill="1" applyAlignment="1" applyProtection="1">
      <alignment horizontal="left"/>
      <protection locked="0"/>
    </xf>
    <xf numFmtId="0" fontId="20" fillId="0" borderId="0" xfId="0" applyFont="1"/>
    <xf numFmtId="0" fontId="20" fillId="12" borderId="49" xfId="0" applyFont="1" applyFill="1" applyBorder="1" applyAlignment="1" applyProtection="1">
      <alignment horizontal="left"/>
      <protection locked="0"/>
    </xf>
    <xf numFmtId="44" fontId="0" fillId="0" borderId="0" xfId="3" applyFont="1"/>
    <xf numFmtId="169" fontId="30" fillId="12" borderId="49" xfId="0" applyNumberFormat="1" applyFont="1" applyFill="1" applyBorder="1" applyAlignment="1" applyProtection="1">
      <alignment horizontal="left"/>
      <protection locked="0"/>
    </xf>
    <xf numFmtId="1" fontId="21" fillId="0" borderId="40" xfId="0" applyNumberFormat="1" applyFont="1" applyBorder="1" applyAlignment="1">
      <alignment horizontal="center" vertical="center"/>
    </xf>
    <xf numFmtId="1" fontId="0" fillId="18" borderId="0" xfId="0" applyNumberFormat="1" applyFill="1" applyAlignment="1">
      <alignment horizontal="center"/>
    </xf>
    <xf numFmtId="1" fontId="0" fillId="0" borderId="0" xfId="0" applyNumberFormat="1"/>
    <xf numFmtId="169" fontId="9" fillId="0" borderId="0" xfId="0" applyNumberFormat="1" applyFont="1"/>
    <xf numFmtId="9" fontId="0" fillId="0" borderId="0" xfId="4" applyFont="1"/>
    <xf numFmtId="0" fontId="0" fillId="0" borderId="40" xfId="0" applyBorder="1"/>
    <xf numFmtId="0" fontId="44" fillId="0" borderId="56" xfId="0" applyFont="1" applyBorder="1" applyAlignment="1">
      <alignment horizontal="left"/>
    </xf>
    <xf numFmtId="0" fontId="44" fillId="0" borderId="45" xfId="0" applyFont="1" applyBorder="1" applyAlignment="1">
      <alignment horizontal="center"/>
    </xf>
    <xf numFmtId="0" fontId="44" fillId="0" borderId="40" xfId="0" applyFont="1" applyBorder="1" applyAlignment="1">
      <alignment horizontal="center"/>
    </xf>
    <xf numFmtId="0" fontId="43" fillId="0" borderId="40" xfId="0" applyFont="1" applyBorder="1" applyAlignment="1">
      <alignment horizontal="center"/>
    </xf>
    <xf numFmtId="169" fontId="43" fillId="12" borderId="78" xfId="3" applyNumberFormat="1" applyFont="1" applyFill="1" applyBorder="1" applyAlignment="1">
      <alignment horizontal="left"/>
    </xf>
    <xf numFmtId="2" fontId="12" fillId="0" borderId="40" xfId="0" applyNumberFormat="1" applyFont="1" applyBorder="1" applyAlignment="1">
      <alignment horizontal="center" vertical="center"/>
    </xf>
    <xf numFmtId="165" fontId="11" fillId="0" borderId="40" xfId="0" applyNumberFormat="1" applyFont="1" applyBorder="1" applyAlignment="1">
      <alignment horizontal="center"/>
    </xf>
    <xf numFmtId="175" fontId="11" fillId="0" borderId="40" xfId="0" applyNumberFormat="1" applyFont="1" applyBorder="1" applyAlignment="1">
      <alignment horizontal="center"/>
    </xf>
    <xf numFmtId="0" fontId="43" fillId="3" borderId="56" xfId="0" applyFont="1" applyFill="1" applyBorder="1" applyAlignment="1">
      <alignment horizontal="center"/>
    </xf>
    <xf numFmtId="169" fontId="43" fillId="3" borderId="57" xfId="3" applyNumberFormat="1" applyFont="1" applyFill="1" applyBorder="1" applyAlignment="1">
      <alignment horizontal="center"/>
    </xf>
    <xf numFmtId="0" fontId="11" fillId="0" borderId="79" xfId="0" applyFont="1" applyBorder="1" applyAlignment="1">
      <alignment horizontal="left"/>
    </xf>
    <xf numFmtId="0" fontId="11" fillId="0" borderId="80" xfId="0" applyFont="1" applyBorder="1" applyAlignment="1">
      <alignment horizontal="left" vertical="center"/>
    </xf>
    <xf numFmtId="165" fontId="11" fillId="0" borderId="80" xfId="0" applyNumberFormat="1" applyFont="1" applyBorder="1" applyAlignment="1">
      <alignment horizontal="left"/>
    </xf>
    <xf numFmtId="0" fontId="11" fillId="0" borderId="81" xfId="0" applyFont="1" applyBorder="1" applyAlignment="1">
      <alignment horizontal="left"/>
    </xf>
    <xf numFmtId="0" fontId="9" fillId="0" borderId="56" xfId="0" applyFont="1" applyBorder="1" applyAlignment="1">
      <alignment horizontal="left"/>
    </xf>
    <xf numFmtId="169" fontId="43" fillId="12" borderId="57" xfId="3" applyNumberFormat="1" applyFont="1" applyFill="1" applyBorder="1" applyAlignment="1">
      <alignment horizontal="left"/>
    </xf>
    <xf numFmtId="2" fontId="11" fillId="0" borderId="40" xfId="0" applyNumberFormat="1" applyFont="1" applyBorder="1" applyAlignment="1">
      <alignment horizontal="center"/>
    </xf>
    <xf numFmtId="1" fontId="11" fillId="0" borderId="40" xfId="0" applyNumberFormat="1" applyFont="1" applyBorder="1" applyAlignment="1">
      <alignment horizontal="center"/>
    </xf>
    <xf numFmtId="168" fontId="0" fillId="18" borderId="0" xfId="4" applyNumberFormat="1" applyFont="1" applyFill="1"/>
    <xf numFmtId="0" fontId="21" fillId="7" borderId="40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vertical="center" wrapText="1"/>
    </xf>
    <xf numFmtId="0" fontId="20" fillId="12" borderId="40" xfId="0" applyFont="1" applyFill="1" applyBorder="1" applyAlignment="1">
      <alignment horizontal="center" vertical="center" wrapText="1"/>
    </xf>
    <xf numFmtId="168" fontId="0" fillId="10" borderId="0" xfId="0" applyNumberFormat="1" applyFill="1"/>
    <xf numFmtId="2" fontId="12" fillId="0" borderId="13" xfId="0" applyNumberFormat="1" applyFont="1" applyBorder="1" applyAlignment="1">
      <alignment horizontal="center" vertical="center"/>
    </xf>
    <xf numFmtId="0" fontId="45" fillId="19" borderId="82" xfId="0" applyFont="1" applyFill="1" applyBorder="1" applyAlignment="1">
      <alignment horizontal="left" vertical="center" wrapText="1"/>
    </xf>
    <xf numFmtId="169" fontId="0" fillId="12" borderId="0" xfId="3" applyNumberFormat="1" applyFont="1" applyFill="1" applyBorder="1" applyAlignment="1" applyProtection="1">
      <alignment horizontal="left"/>
      <protection locked="0"/>
    </xf>
    <xf numFmtId="169" fontId="45" fillId="0" borderId="0" xfId="3" applyNumberFormat="1" applyFont="1"/>
    <xf numFmtId="177" fontId="9" fillId="0" borderId="0" xfId="0" applyNumberFormat="1" applyFont="1"/>
    <xf numFmtId="168" fontId="20" fillId="18" borderId="43" xfId="0" applyNumberFormat="1" applyFont="1" applyFill="1" applyBorder="1"/>
    <xf numFmtId="169" fontId="20" fillId="0" borderId="0" xfId="3" applyNumberFormat="1" applyFont="1"/>
    <xf numFmtId="174" fontId="12" fillId="0" borderId="40" xfId="0" applyNumberFormat="1" applyFont="1" applyBorder="1" applyAlignment="1">
      <alignment horizontal="center" vertical="center"/>
    </xf>
    <xf numFmtId="174" fontId="12" fillId="0" borderId="72" xfId="0" applyNumberFormat="1" applyFont="1" applyBorder="1" applyAlignment="1">
      <alignment horizontal="center" vertical="center"/>
    </xf>
    <xf numFmtId="164" fontId="43" fillId="0" borderId="47" xfId="0" applyNumberFormat="1" applyFont="1" applyBorder="1" applyAlignment="1">
      <alignment horizontal="center"/>
    </xf>
    <xf numFmtId="172" fontId="43" fillId="0" borderId="62" xfId="3" applyNumberFormat="1" applyFont="1" applyBorder="1"/>
    <xf numFmtId="0" fontId="11" fillId="0" borderId="84" xfId="0" applyFont="1" applyBorder="1" applyAlignment="1">
      <alignment horizontal="center"/>
    </xf>
    <xf numFmtId="0" fontId="11" fillId="0" borderId="83" xfId="0" applyFont="1" applyBorder="1" applyAlignment="1">
      <alignment horizontal="center"/>
    </xf>
    <xf numFmtId="0" fontId="44" fillId="0" borderId="47" xfId="0" applyFont="1" applyBorder="1" applyAlignment="1">
      <alignment horizontal="center"/>
    </xf>
    <xf numFmtId="0" fontId="43" fillId="3" borderId="85" xfId="0" applyFont="1" applyFill="1" applyBorder="1" applyAlignment="1">
      <alignment horizontal="center"/>
    </xf>
    <xf numFmtId="169" fontId="43" fillId="3" borderId="86" xfId="3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2" fontId="12" fillId="0" borderId="72" xfId="0" applyNumberFormat="1" applyFont="1" applyBorder="1" applyAlignment="1">
      <alignment horizontal="center" vertical="center"/>
    </xf>
    <xf numFmtId="44" fontId="43" fillId="0" borderId="62" xfId="3" applyFont="1" applyBorder="1"/>
    <xf numFmtId="0" fontId="11" fillId="0" borderId="87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40" fillId="0" borderId="47" xfId="0" applyFont="1" applyBorder="1" applyAlignment="1">
      <alignment horizontal="center"/>
    </xf>
    <xf numFmtId="0" fontId="11" fillId="0" borderId="77" xfId="0" applyFont="1" applyBorder="1" applyAlignment="1">
      <alignment horizontal="left" vertical="center"/>
    </xf>
    <xf numFmtId="174" fontId="19" fillId="0" borderId="40" xfId="0" applyNumberFormat="1" applyFont="1" applyBorder="1" applyAlignment="1">
      <alignment horizontal="center" vertical="center"/>
    </xf>
    <xf numFmtId="165" fontId="11" fillId="0" borderId="88" xfId="0" applyNumberFormat="1" applyFont="1" applyBorder="1" applyAlignment="1">
      <alignment horizontal="left"/>
    </xf>
    <xf numFmtId="1" fontId="11" fillId="0" borderId="30" xfId="0" applyNumberFormat="1" applyFont="1" applyBorder="1" applyAlignment="1">
      <alignment horizontal="center"/>
    </xf>
    <xf numFmtId="178" fontId="11" fillId="0" borderId="40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/>
    </xf>
    <xf numFmtId="1" fontId="11" fillId="0" borderId="27" xfId="0" applyNumberFormat="1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174" fontId="12" fillId="0" borderId="4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7" fontId="0" fillId="18" borderId="0" xfId="3" applyNumberFormat="1" applyFont="1" applyFill="1" applyAlignment="1">
      <alignment vertical="center" wrapText="1"/>
    </xf>
    <xf numFmtId="169" fontId="43" fillId="12" borderId="89" xfId="3" applyNumberFormat="1" applyFont="1" applyFill="1" applyBorder="1" applyAlignment="1">
      <alignment horizontal="left"/>
    </xf>
    <xf numFmtId="169" fontId="43" fillId="0" borderId="59" xfId="3" applyNumberFormat="1" applyFont="1" applyBorder="1" applyAlignment="1">
      <alignment horizontal="left"/>
    </xf>
    <xf numFmtId="2" fontId="11" fillId="0" borderId="40" xfId="0" applyNumberFormat="1" applyFont="1" applyBorder="1" applyAlignment="1">
      <alignment horizontal="center" vertical="center"/>
    </xf>
    <xf numFmtId="0" fontId="43" fillId="12" borderId="90" xfId="0" applyFont="1" applyFill="1" applyBorder="1" applyAlignment="1">
      <alignment horizontal="center"/>
    </xf>
    <xf numFmtId="0" fontId="35" fillId="0" borderId="0" xfId="0" applyFont="1"/>
    <xf numFmtId="169" fontId="35" fillId="0" borderId="0" xfId="0" applyNumberFormat="1" applyFont="1"/>
    <xf numFmtId="0" fontId="42" fillId="16" borderId="53" xfId="0" applyFont="1" applyFill="1" applyBorder="1" applyAlignment="1">
      <alignment horizontal="center"/>
    </xf>
    <xf numFmtId="0" fontId="42" fillId="16" borderId="54" xfId="0" applyFont="1" applyFill="1" applyBorder="1" applyAlignment="1">
      <alignment horizontal="center"/>
    </xf>
    <xf numFmtId="0" fontId="42" fillId="16" borderId="55" xfId="0" applyFont="1" applyFill="1" applyBorder="1" applyAlignment="1">
      <alignment horizontal="center"/>
    </xf>
    <xf numFmtId="0" fontId="43" fillId="3" borderId="58" xfId="0" applyFont="1" applyFill="1" applyBorder="1" applyAlignment="1">
      <alignment horizontal="center"/>
    </xf>
    <xf numFmtId="0" fontId="43" fillId="3" borderId="47" xfId="0" applyFont="1" applyFill="1" applyBorder="1" applyAlignment="1">
      <alignment horizontal="center"/>
    </xf>
    <xf numFmtId="0" fontId="43" fillId="3" borderId="59" xfId="0" applyFont="1" applyFill="1" applyBorder="1" applyAlignment="1">
      <alignment horizontal="center"/>
    </xf>
    <xf numFmtId="0" fontId="26" fillId="13" borderId="50" xfId="0" applyFont="1" applyFill="1" applyBorder="1" applyAlignment="1">
      <alignment horizontal="center"/>
    </xf>
    <xf numFmtId="0" fontId="26" fillId="13" borderId="0" xfId="0" applyFont="1" applyFill="1" applyAlignment="1">
      <alignment horizontal="center"/>
    </xf>
    <xf numFmtId="0" fontId="31" fillId="12" borderId="0" xfId="6" applyFont="1" applyFill="1" applyAlignment="1" applyProtection="1">
      <alignment horizontal="center"/>
      <protection locked="0"/>
    </xf>
    <xf numFmtId="0" fontId="11" fillId="0" borderId="20" xfId="0" applyFont="1" applyBorder="1" applyAlignment="1">
      <alignment horizontal="left" vertical="center"/>
    </xf>
    <xf numFmtId="0" fontId="10" fillId="0" borderId="21" xfId="0" applyFont="1" applyBorder="1"/>
    <xf numFmtId="0" fontId="10" fillId="0" borderId="22" xfId="0" applyFont="1" applyBorder="1"/>
    <xf numFmtId="0" fontId="9" fillId="0" borderId="0" xfId="0" applyFont="1" applyAlignment="1">
      <alignment horizontal="center"/>
    </xf>
    <xf numFmtId="0" fontId="0" fillId="0" borderId="0" xfId="0"/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9" fillId="0" borderId="0" xfId="0" applyFont="1"/>
    <xf numFmtId="0" fontId="9" fillId="0" borderId="8" xfId="0" applyFont="1" applyBorder="1" applyAlignment="1">
      <alignment horizontal="center"/>
    </xf>
    <xf numFmtId="0" fontId="10" fillId="0" borderId="9" xfId="0" applyFont="1" applyBorder="1"/>
    <xf numFmtId="0" fontId="9" fillId="0" borderId="6" xfId="0" applyFont="1" applyBorder="1" applyAlignment="1">
      <alignment horizontal="center"/>
    </xf>
    <xf numFmtId="0" fontId="10" fillId="0" borderId="7" xfId="0" applyFont="1" applyBorder="1"/>
    <xf numFmtId="0" fontId="9" fillId="0" borderId="6" xfId="0" applyFont="1" applyBorder="1"/>
    <xf numFmtId="0" fontId="10" fillId="0" borderId="12" xfId="0" applyFont="1" applyBorder="1"/>
    <xf numFmtId="0" fontId="14" fillId="0" borderId="13" xfId="0" applyFont="1" applyBorder="1" applyAlignment="1">
      <alignment horizontal="left"/>
    </xf>
    <xf numFmtId="0" fontId="10" fillId="0" borderId="14" xfId="0" applyFont="1" applyBorder="1"/>
    <xf numFmtId="0" fontId="10" fillId="0" borderId="15" xfId="0" applyFont="1" applyBorder="1"/>
    <xf numFmtId="0" fontId="9" fillId="0" borderId="27" xfId="0" applyFont="1" applyBorder="1"/>
    <xf numFmtId="0" fontId="10" fillId="0" borderId="28" xfId="0" applyFont="1" applyBorder="1"/>
    <xf numFmtId="0" fontId="9" fillId="0" borderId="20" xfId="0" applyFont="1" applyBorder="1"/>
    <xf numFmtId="0" fontId="9" fillId="0" borderId="38" xfId="0" applyFont="1" applyBorder="1"/>
    <xf numFmtId="0" fontId="10" fillId="0" borderId="39" xfId="0" applyFont="1" applyBorder="1"/>
    <xf numFmtId="0" fontId="10" fillId="0" borderId="36" xfId="0" applyFont="1" applyBorder="1"/>
    <xf numFmtId="0" fontId="11" fillId="0" borderId="13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0" fontId="11" fillId="0" borderId="38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2" xfId="0" applyFont="1" applyBorder="1" applyAlignment="1">
      <alignment horizontal="left" vertical="center"/>
    </xf>
    <xf numFmtId="165" fontId="11" fillId="0" borderId="20" xfId="0" applyNumberFormat="1" applyFont="1" applyBorder="1" applyAlignment="1">
      <alignment horizontal="left"/>
    </xf>
    <xf numFmtId="165" fontId="11" fillId="0" borderId="22" xfId="0" applyNumberFormat="1" applyFont="1" applyBorder="1" applyAlignment="1">
      <alignment horizontal="left"/>
    </xf>
    <xf numFmtId="0" fontId="11" fillId="0" borderId="38" xfId="0" applyFont="1" applyBorder="1" applyAlignment="1">
      <alignment horizontal="left" vertical="center"/>
    </xf>
    <xf numFmtId="165" fontId="11" fillId="0" borderId="38" xfId="0" applyNumberFormat="1" applyFont="1" applyBorder="1" applyAlignment="1">
      <alignment horizontal="left"/>
    </xf>
    <xf numFmtId="0" fontId="41" fillId="12" borderId="46" xfId="0" applyFont="1" applyFill="1" applyBorder="1" applyAlignment="1">
      <alignment horizontal="center" vertical="center" wrapText="1"/>
    </xf>
    <xf numFmtId="0" fontId="41" fillId="12" borderId="47" xfId="0" applyFont="1" applyFill="1" applyBorder="1" applyAlignment="1">
      <alignment horizontal="center" vertical="center" wrapText="1"/>
    </xf>
    <xf numFmtId="0" fontId="41" fillId="12" borderId="45" xfId="0" applyFont="1" applyFill="1" applyBorder="1" applyAlignment="1">
      <alignment horizontal="center" vertical="center" wrapText="1"/>
    </xf>
    <xf numFmtId="0" fontId="41" fillId="12" borderId="4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left" vertical="center"/>
    </xf>
    <xf numFmtId="165" fontId="14" fillId="0" borderId="20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24" fillId="12" borderId="46" xfId="0" applyFont="1" applyFill="1" applyBorder="1" applyAlignment="1">
      <alignment horizontal="center" vertical="center" wrapText="1"/>
    </xf>
    <xf numFmtId="0" fontId="24" fillId="12" borderId="47" xfId="0" applyFont="1" applyFill="1" applyBorder="1" applyAlignment="1">
      <alignment horizontal="center" vertical="center" wrapText="1"/>
    </xf>
    <xf numFmtId="0" fontId="24" fillId="12" borderId="4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4" fillId="0" borderId="20" xfId="0" applyFont="1" applyBorder="1" applyAlignment="1">
      <alignment horizontal="left"/>
    </xf>
    <xf numFmtId="0" fontId="16" fillId="0" borderId="20" xfId="0" applyFont="1" applyBorder="1" applyAlignment="1">
      <alignment horizontal="left" vertical="center"/>
    </xf>
    <xf numFmtId="0" fontId="17" fillId="0" borderId="21" xfId="0" applyFont="1" applyBorder="1"/>
    <xf numFmtId="0" fontId="17" fillId="0" borderId="22" xfId="0" applyFont="1" applyBorder="1"/>
    <xf numFmtId="0" fontId="11" fillId="0" borderId="33" xfId="0" applyFont="1" applyBorder="1" applyAlignment="1">
      <alignment horizontal="left"/>
    </xf>
    <xf numFmtId="0" fontId="10" fillId="0" borderId="34" xfId="0" applyFont="1" applyBorder="1"/>
    <xf numFmtId="0" fontId="10" fillId="0" borderId="35" xfId="0" applyFont="1" applyBorder="1"/>
  </cellXfs>
  <cellStyles count="10">
    <cellStyle name="Currency [0] 2" xfId="2" xr:uid="{00000000-0005-0000-0000-000000000000}"/>
    <cellStyle name="Millares" xfId="5" builtinId="3"/>
    <cellStyle name="Millares 2" xfId="7" xr:uid="{FED77D92-245B-44F0-A91A-8897BD708E23}"/>
    <cellStyle name="Moneda" xfId="3" builtinId="4"/>
    <cellStyle name="Moneda 2" xfId="8" xr:uid="{72867E24-A634-4E64-86B6-FE0BF4C7EAAC}"/>
    <cellStyle name="Normal" xfId="0" builtinId="0"/>
    <cellStyle name="Normal 2" xfId="1" xr:uid="{00000000-0005-0000-0000-000002000000}"/>
    <cellStyle name="Normal 3" xfId="6" xr:uid="{8AF81AE4-E88B-48DA-99B0-B18B69DE7F6C}"/>
    <cellStyle name="Porcentaje" xfId="4" builtinId="5"/>
    <cellStyle name="Porcentaje 2" xfId="9" xr:uid="{B95F0543-1AEC-47C0-9DEE-6DF79E8F6D8D}"/>
  </cellStyles>
  <dxfs count="0"/>
  <tableStyles count="1" defaultTableStyle="TableStyleMedium2" defaultPivotStyle="PivotStyleLight16">
    <tableStyle name="Table Style 1" pivot="0" count="0" xr9:uid="{BA8CA93C-20CF-4BF6-ADD7-0EE4B3839143}"/>
  </tableStyles>
  <colors>
    <mruColors>
      <color rgb="FF990000"/>
      <color rgb="FFFFFF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4</xdr:row>
      <xdr:rowOff>50801</xdr:rowOff>
    </xdr:from>
    <xdr:to>
      <xdr:col>0</xdr:col>
      <xdr:colOff>2047875</xdr:colOff>
      <xdr:row>9</xdr:row>
      <xdr:rowOff>41276</xdr:rowOff>
    </xdr:to>
    <xdr:pic>
      <xdr:nvPicPr>
        <xdr:cNvPr id="5" name="Imagen 4" descr="Receta de chuletas de cerdo al horno - Comedera - Recetas, tips y ...">
          <a:extLst>
            <a:ext uri="{FF2B5EF4-FFF2-40B4-BE49-F238E27FC236}">
              <a16:creationId xmlns:a16="http://schemas.microsoft.com/office/drawing/2014/main" id="{FC42B33B-47C6-4F46-9E29-3216CBDA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74726"/>
          <a:ext cx="168592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352424</xdr:colOff>
      <xdr:row>16</xdr:row>
      <xdr:rowOff>108943</xdr:rowOff>
    </xdr:from>
    <xdr:to>
      <xdr:col>0</xdr:col>
      <xdr:colOff>1952623</xdr:colOff>
      <xdr:row>21</xdr:row>
      <xdr:rowOff>38100</xdr:rowOff>
    </xdr:to>
    <xdr:pic>
      <xdr:nvPicPr>
        <xdr:cNvPr id="7" name="Imagen 6" descr="Milanesa de cerdo">
          <a:extLst>
            <a:ext uri="{FF2B5EF4-FFF2-40B4-BE49-F238E27FC236}">
              <a16:creationId xmlns:a16="http://schemas.microsoft.com/office/drawing/2014/main" id="{E31F1C81-636C-4D9B-B0C6-AC4683DD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3642718"/>
          <a:ext cx="1600199" cy="1062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28</xdr:row>
      <xdr:rowOff>76200</xdr:rowOff>
    </xdr:from>
    <xdr:to>
      <xdr:col>0</xdr:col>
      <xdr:colOff>2143125</xdr:colOff>
      <xdr:row>33</xdr:row>
      <xdr:rowOff>135421</xdr:rowOff>
    </xdr:to>
    <xdr:pic>
      <xdr:nvPicPr>
        <xdr:cNvPr id="11" name="Imagen 10" descr="Resultado de imagen de cordon blue de pollo">
          <a:extLst>
            <a:ext uri="{FF2B5EF4-FFF2-40B4-BE49-F238E27FC236}">
              <a16:creationId xmlns:a16="http://schemas.microsoft.com/office/drawing/2014/main" id="{3777A320-DECF-44A1-A0F5-E42C4B945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6219825"/>
          <a:ext cx="1981200" cy="1192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266700</xdr:colOff>
      <xdr:row>40</xdr:row>
      <xdr:rowOff>101801</xdr:rowOff>
    </xdr:from>
    <xdr:to>
      <xdr:col>0</xdr:col>
      <xdr:colOff>1962150</xdr:colOff>
      <xdr:row>46</xdr:row>
      <xdr:rowOff>57150</xdr:rowOff>
    </xdr:to>
    <xdr:pic>
      <xdr:nvPicPr>
        <xdr:cNvPr id="14" name="Imagen 13" descr="Lomo de res con salsa de vino. ¡La receta ideal para San Valentín!Blog ...">
          <a:extLst>
            <a:ext uri="{FF2B5EF4-FFF2-40B4-BE49-F238E27FC236}">
              <a16:creationId xmlns:a16="http://schemas.microsoft.com/office/drawing/2014/main" id="{8213693C-61E8-49B8-B690-C7ED3BA90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8855276"/>
          <a:ext cx="1695450" cy="1269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333375</xdr:colOff>
      <xdr:row>52</xdr:row>
      <xdr:rowOff>61912</xdr:rowOff>
    </xdr:from>
    <xdr:to>
      <xdr:col>0</xdr:col>
      <xdr:colOff>2066924</xdr:colOff>
      <xdr:row>58</xdr:row>
      <xdr:rowOff>47624</xdr:rowOff>
    </xdr:to>
    <xdr:pic>
      <xdr:nvPicPr>
        <xdr:cNvPr id="17" name="Imagen 16" descr="Pernil. Un asado de carne que seguro que te viene muy bien para servir ...">
          <a:extLst>
            <a:ext uri="{FF2B5EF4-FFF2-40B4-BE49-F238E27FC236}">
              <a16:creationId xmlns:a16="http://schemas.microsoft.com/office/drawing/2014/main" id="{32A282DA-DA3C-4484-817E-E194D8EF7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1425237"/>
          <a:ext cx="1733549" cy="1300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180976</xdr:colOff>
      <xdr:row>64</xdr:row>
      <xdr:rowOff>133350</xdr:rowOff>
    </xdr:from>
    <xdr:to>
      <xdr:col>0</xdr:col>
      <xdr:colOff>2158736</xdr:colOff>
      <xdr:row>69</xdr:row>
      <xdr:rowOff>95250</xdr:rowOff>
    </xdr:to>
    <xdr:pic>
      <xdr:nvPicPr>
        <xdr:cNvPr id="21" name="Imagen 20" descr="Resultado de imagen de MILNESA DE POLLO CON PASTA">
          <a:extLst>
            <a:ext uri="{FF2B5EF4-FFF2-40B4-BE49-F238E27FC236}">
              <a16:creationId xmlns:a16="http://schemas.microsoft.com/office/drawing/2014/main" id="{B1FAC10F-1F6B-4C06-B09F-5AC7A877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6" y="14106525"/>
          <a:ext cx="1977760" cy="1095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6EA-0F25-4383-9752-8937E6ED0EE7}">
  <dimension ref="B2:R67"/>
  <sheetViews>
    <sheetView workbookViewId="0"/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</cols>
  <sheetData>
    <row r="2" spans="2:18" ht="13.5" thickBot="1" x14ac:dyDescent="0.25"/>
    <row r="3" spans="2:18" ht="15" x14ac:dyDescent="0.25">
      <c r="B3" s="354" t="s">
        <v>527</v>
      </c>
      <c r="C3" s="355"/>
      <c r="D3" s="355"/>
      <c r="E3" s="355"/>
      <c r="F3" s="356"/>
      <c r="H3" s="354" t="s">
        <v>527</v>
      </c>
      <c r="I3" s="355"/>
      <c r="J3" s="355"/>
      <c r="K3" s="355"/>
      <c r="L3" s="356"/>
      <c r="N3" s="354" t="s">
        <v>527</v>
      </c>
      <c r="O3" s="355"/>
      <c r="P3" s="355"/>
      <c r="Q3" s="355"/>
      <c r="R3" s="356"/>
    </row>
    <row r="4" spans="2:18" ht="15.75" thickBot="1" x14ac:dyDescent="0.3">
      <c r="B4" s="197" t="s">
        <v>3</v>
      </c>
      <c r="C4" s="197" t="s">
        <v>507</v>
      </c>
      <c r="D4" s="197" t="s">
        <v>508</v>
      </c>
      <c r="E4" s="197" t="s">
        <v>513</v>
      </c>
      <c r="F4" s="256" t="s">
        <v>509</v>
      </c>
      <c r="H4" s="197" t="s">
        <v>3</v>
      </c>
      <c r="I4" s="197" t="s">
        <v>507</v>
      </c>
      <c r="J4" s="197" t="s">
        <v>508</v>
      </c>
      <c r="K4" s="197" t="s">
        <v>513</v>
      </c>
      <c r="L4" s="256" t="s">
        <v>509</v>
      </c>
      <c r="N4" s="197" t="s">
        <v>3</v>
      </c>
      <c r="O4" s="197" t="s">
        <v>507</v>
      </c>
      <c r="P4" s="197" t="s">
        <v>508</v>
      </c>
      <c r="Q4" s="197" t="s">
        <v>513</v>
      </c>
      <c r="R4" s="256" t="s">
        <v>509</v>
      </c>
    </row>
    <row r="5" spans="2:18" ht="15.75" x14ac:dyDescent="0.25">
      <c r="B5" s="257"/>
      <c r="C5" s="258"/>
      <c r="D5" s="259" t="s">
        <v>12</v>
      </c>
      <c r="E5" s="260"/>
      <c r="F5" s="261">
        <f>C5*E5</f>
        <v>0</v>
      </c>
      <c r="H5" s="257"/>
      <c r="I5" s="258"/>
      <c r="J5" s="259" t="s">
        <v>12</v>
      </c>
      <c r="K5" s="260"/>
      <c r="L5" s="261">
        <f>I5*K5</f>
        <v>0</v>
      </c>
      <c r="N5" s="257"/>
      <c r="O5" s="258"/>
      <c r="P5" s="259" t="s">
        <v>12</v>
      </c>
      <c r="Q5" s="260"/>
      <c r="R5" s="261">
        <f>O5*Q5</f>
        <v>0</v>
      </c>
    </row>
    <row r="6" spans="2:18" ht="15" x14ac:dyDescent="0.25">
      <c r="B6" s="262"/>
      <c r="C6" s="108"/>
      <c r="D6" s="254" t="s">
        <v>12</v>
      </c>
      <c r="E6" s="253"/>
      <c r="F6" s="203">
        <f t="shared" ref="F6:F13" si="0">C6*E6</f>
        <v>0</v>
      </c>
      <c r="H6" s="262"/>
      <c r="I6" s="108"/>
      <c r="J6" s="254" t="s">
        <v>12</v>
      </c>
      <c r="K6" s="253"/>
      <c r="L6" s="203">
        <f t="shared" ref="L6:L13" si="1">I6*K6</f>
        <v>0</v>
      </c>
      <c r="N6" s="262"/>
      <c r="O6" s="108"/>
      <c r="P6" s="254" t="s">
        <v>12</v>
      </c>
      <c r="Q6" s="253"/>
      <c r="R6" s="203">
        <f t="shared" ref="R6:R13" si="2">O6*Q6</f>
        <v>0</v>
      </c>
    </row>
    <row r="7" spans="2:18" ht="15" x14ac:dyDescent="0.25">
      <c r="B7" s="262"/>
      <c r="C7" s="108"/>
      <c r="D7" s="254" t="s">
        <v>12</v>
      </c>
      <c r="E7" s="253"/>
      <c r="F7" s="203">
        <f t="shared" si="0"/>
        <v>0</v>
      </c>
      <c r="H7" s="262"/>
      <c r="I7" s="108"/>
      <c r="J7" s="254" t="s">
        <v>12</v>
      </c>
      <c r="K7" s="253"/>
      <c r="L7" s="203">
        <f t="shared" si="1"/>
        <v>0</v>
      </c>
      <c r="N7" s="262"/>
      <c r="O7" s="108"/>
      <c r="P7" s="254" t="s">
        <v>12</v>
      </c>
      <c r="Q7" s="253"/>
      <c r="R7" s="203">
        <f t="shared" si="2"/>
        <v>0</v>
      </c>
    </row>
    <row r="8" spans="2:18" ht="15" x14ac:dyDescent="0.25">
      <c r="B8" s="262"/>
      <c r="C8" s="108"/>
      <c r="D8" s="254" t="s">
        <v>12</v>
      </c>
      <c r="E8" s="253"/>
      <c r="F8" s="203">
        <f t="shared" si="0"/>
        <v>0</v>
      </c>
      <c r="H8" s="262"/>
      <c r="I8" s="108"/>
      <c r="J8" s="254" t="s">
        <v>12</v>
      </c>
      <c r="K8" s="253"/>
      <c r="L8" s="203">
        <f t="shared" si="1"/>
        <v>0</v>
      </c>
      <c r="N8" s="262"/>
      <c r="O8" s="108"/>
      <c r="P8" s="254" t="s">
        <v>12</v>
      </c>
      <c r="Q8" s="253"/>
      <c r="R8" s="203">
        <f t="shared" si="2"/>
        <v>0</v>
      </c>
    </row>
    <row r="9" spans="2:18" ht="15" x14ac:dyDescent="0.25">
      <c r="B9" s="262"/>
      <c r="C9" s="108"/>
      <c r="D9" s="254" t="s">
        <v>59</v>
      </c>
      <c r="E9" s="253"/>
      <c r="F9" s="203">
        <f t="shared" si="0"/>
        <v>0</v>
      </c>
      <c r="H9" s="262"/>
      <c r="I9" s="108"/>
      <c r="J9" s="254" t="s">
        <v>59</v>
      </c>
      <c r="K9" s="253"/>
      <c r="L9" s="203">
        <f t="shared" si="1"/>
        <v>0</v>
      </c>
      <c r="N9" s="262"/>
      <c r="O9" s="108"/>
      <c r="P9" s="254" t="s">
        <v>59</v>
      </c>
      <c r="Q9" s="253"/>
      <c r="R9" s="203">
        <f t="shared" si="2"/>
        <v>0</v>
      </c>
    </row>
    <row r="10" spans="2:18" ht="15" x14ac:dyDescent="0.25">
      <c r="B10" s="262"/>
      <c r="C10" s="108"/>
      <c r="D10" s="254" t="s">
        <v>59</v>
      </c>
      <c r="E10" s="253"/>
      <c r="F10" s="203">
        <f t="shared" si="0"/>
        <v>0</v>
      </c>
      <c r="H10" s="262"/>
      <c r="I10" s="108"/>
      <c r="J10" s="254" t="s">
        <v>59</v>
      </c>
      <c r="K10" s="253"/>
      <c r="L10" s="203">
        <f t="shared" si="1"/>
        <v>0</v>
      </c>
      <c r="N10" s="262"/>
      <c r="O10" s="108"/>
      <c r="P10" s="254" t="s">
        <v>59</v>
      </c>
      <c r="Q10" s="253"/>
      <c r="R10" s="203">
        <f t="shared" si="2"/>
        <v>0</v>
      </c>
    </row>
    <row r="11" spans="2:18" ht="15.75" x14ac:dyDescent="0.25">
      <c r="B11" s="262"/>
      <c r="C11" s="108"/>
      <c r="D11" s="255" t="s">
        <v>12</v>
      </c>
      <c r="E11" s="253"/>
      <c r="F11" s="203">
        <f t="shared" si="0"/>
        <v>0</v>
      </c>
      <c r="H11" s="262"/>
      <c r="I11" s="108"/>
      <c r="J11" s="255" t="s">
        <v>12</v>
      </c>
      <c r="K11" s="253"/>
      <c r="L11" s="203">
        <f t="shared" si="1"/>
        <v>0</v>
      </c>
      <c r="N11" s="262"/>
      <c r="O11" s="108"/>
      <c r="P11" s="255" t="s">
        <v>12</v>
      </c>
      <c r="Q11" s="253"/>
      <c r="R11" s="203">
        <f t="shared" si="2"/>
        <v>0</v>
      </c>
    </row>
    <row r="12" spans="2:18" ht="15.75" x14ac:dyDescent="0.25">
      <c r="B12" s="265"/>
      <c r="C12" s="108"/>
      <c r="D12" s="255"/>
      <c r="E12" s="253"/>
      <c r="F12" s="203">
        <f t="shared" si="0"/>
        <v>0</v>
      </c>
      <c r="H12" s="265"/>
      <c r="I12" s="108"/>
      <c r="J12" s="255"/>
      <c r="K12" s="253"/>
      <c r="L12" s="203">
        <f t="shared" si="1"/>
        <v>0</v>
      </c>
      <c r="N12" s="265"/>
      <c r="O12" s="108"/>
      <c r="P12" s="255"/>
      <c r="Q12" s="253"/>
      <c r="R12" s="203">
        <f t="shared" si="2"/>
        <v>0</v>
      </c>
    </row>
    <row r="13" spans="2:18" ht="15.75" x14ac:dyDescent="0.25">
      <c r="B13" s="266"/>
      <c r="C13" s="108"/>
      <c r="D13" s="255"/>
      <c r="E13" s="253"/>
      <c r="F13" s="203">
        <f t="shared" si="0"/>
        <v>0</v>
      </c>
      <c r="H13" s="266"/>
      <c r="I13" s="108"/>
      <c r="J13" s="255"/>
      <c r="K13" s="253"/>
      <c r="L13" s="203">
        <f t="shared" si="1"/>
        <v>0</v>
      </c>
      <c r="N13" s="266"/>
      <c r="O13" s="108"/>
      <c r="P13" s="255"/>
      <c r="Q13" s="253"/>
      <c r="R13" s="203">
        <f t="shared" si="2"/>
        <v>0</v>
      </c>
    </row>
    <row r="14" spans="2:18" ht="15" x14ac:dyDescent="0.25">
      <c r="B14" s="216" t="s">
        <v>512</v>
      </c>
      <c r="C14" s="217"/>
      <c r="D14" s="217"/>
      <c r="E14" s="217"/>
      <c r="F14" s="218"/>
      <c r="H14" s="216" t="s">
        <v>512</v>
      </c>
      <c r="I14" s="217"/>
      <c r="J14" s="217"/>
      <c r="K14" s="217"/>
      <c r="L14" s="218"/>
      <c r="N14" s="216" t="s">
        <v>512</v>
      </c>
      <c r="O14" s="217"/>
      <c r="P14" s="217"/>
      <c r="Q14" s="217"/>
      <c r="R14" s="218"/>
    </row>
    <row r="15" spans="2:18" ht="15" x14ac:dyDescent="0.25">
      <c r="B15" s="219"/>
      <c r="C15" s="220"/>
      <c r="D15" s="221"/>
      <c r="E15" s="221"/>
      <c r="F15" s="222">
        <f>C15*140</f>
        <v>0</v>
      </c>
      <c r="H15" s="219"/>
      <c r="I15" s="220"/>
      <c r="J15" s="221"/>
      <c r="K15" s="221"/>
      <c r="L15" s="222">
        <f>I15*140</f>
        <v>0</v>
      </c>
      <c r="N15" s="219"/>
      <c r="O15" s="220"/>
      <c r="P15" s="221"/>
      <c r="Q15" s="221"/>
      <c r="R15" s="222">
        <f>O15*140</f>
        <v>0</v>
      </c>
    </row>
    <row r="16" spans="2:18" ht="15" x14ac:dyDescent="0.25">
      <c r="B16" s="219"/>
      <c r="C16" s="220"/>
      <c r="D16" s="221"/>
      <c r="E16" s="221"/>
      <c r="F16" s="222">
        <f t="shared" ref="F16:F17" si="3">C16*140</f>
        <v>0</v>
      </c>
      <c r="H16" s="219"/>
      <c r="I16" s="220"/>
      <c r="J16" s="221"/>
      <c r="K16" s="221"/>
      <c r="L16" s="222">
        <f t="shared" ref="L16:L17" si="4">I16*140</f>
        <v>0</v>
      </c>
      <c r="N16" s="219"/>
      <c r="O16" s="220"/>
      <c r="P16" s="221"/>
      <c r="Q16" s="221"/>
      <c r="R16" s="222">
        <f t="shared" ref="R16:R17" si="5">O16*140</f>
        <v>0</v>
      </c>
    </row>
    <row r="17" spans="2:18" ht="15" x14ac:dyDescent="0.25">
      <c r="B17" s="219"/>
      <c r="C17" s="220"/>
      <c r="D17" s="221"/>
      <c r="E17" s="221"/>
      <c r="F17" s="222">
        <f t="shared" si="3"/>
        <v>0</v>
      </c>
      <c r="H17" s="219"/>
      <c r="I17" s="220"/>
      <c r="J17" s="221"/>
      <c r="K17" s="221"/>
      <c r="L17" s="222">
        <f t="shared" si="4"/>
        <v>0</v>
      </c>
      <c r="N17" s="219"/>
      <c r="O17" s="220"/>
      <c r="P17" s="221"/>
      <c r="Q17" s="221"/>
      <c r="R17" s="222">
        <f t="shared" si="5"/>
        <v>0</v>
      </c>
    </row>
    <row r="18" spans="2:18" ht="15" x14ac:dyDescent="0.25">
      <c r="B18" s="357" t="s">
        <v>510</v>
      </c>
      <c r="C18" s="358"/>
      <c r="D18" s="358"/>
      <c r="E18" s="358"/>
      <c r="F18" s="359"/>
      <c r="H18" s="357" t="s">
        <v>510</v>
      </c>
      <c r="I18" s="358"/>
      <c r="J18" s="358"/>
      <c r="K18" s="358"/>
      <c r="L18" s="359"/>
      <c r="N18" s="357" t="s">
        <v>510</v>
      </c>
      <c r="O18" s="358"/>
      <c r="P18" s="358"/>
      <c r="Q18" s="358"/>
      <c r="R18" s="359"/>
    </row>
    <row r="19" spans="2:18" ht="15" x14ac:dyDescent="0.25">
      <c r="B19" s="219" t="s">
        <v>511</v>
      </c>
      <c r="C19" s="223"/>
      <c r="D19" s="223"/>
      <c r="E19" s="224"/>
      <c r="F19" s="225">
        <f>(F5+F6+F7+F8+F9+F10+F11+F12+F13+F17)</f>
        <v>0</v>
      </c>
      <c r="H19" s="219" t="s">
        <v>511</v>
      </c>
      <c r="I19" s="223"/>
      <c r="J19" s="223"/>
      <c r="K19" s="224"/>
      <c r="L19" s="225">
        <f>(L5+L6+L7+L8+L9+L10+L11+L12+L13+L17)</f>
        <v>0</v>
      </c>
      <c r="N19" s="219" t="s">
        <v>511</v>
      </c>
      <c r="O19" s="223"/>
      <c r="P19" s="223"/>
      <c r="Q19" s="224"/>
      <c r="R19" s="225">
        <f>(R5+R6+R7+R8+R9+R10+R11+R12+R13+R17)</f>
        <v>0</v>
      </c>
    </row>
    <row r="20" spans="2:18" ht="15" x14ac:dyDescent="0.25">
      <c r="B20" s="226" t="s">
        <v>17</v>
      </c>
      <c r="C20" s="223"/>
      <c r="D20" s="223"/>
      <c r="E20" s="224"/>
      <c r="F20" s="227">
        <f>F19*0.1</f>
        <v>0</v>
      </c>
      <c r="H20" s="226" t="s">
        <v>17</v>
      </c>
      <c r="I20" s="223"/>
      <c r="J20" s="223"/>
      <c r="K20" s="224"/>
      <c r="L20" s="227">
        <f>L19*0.1</f>
        <v>0</v>
      </c>
      <c r="N20" s="226" t="s">
        <v>17</v>
      </c>
      <c r="O20" s="223"/>
      <c r="P20" s="223"/>
      <c r="Q20" s="224"/>
      <c r="R20" s="227">
        <f>R19*0.1</f>
        <v>0</v>
      </c>
    </row>
    <row r="21" spans="2:18" ht="15" x14ac:dyDescent="0.25">
      <c r="B21" s="226" t="s">
        <v>18</v>
      </c>
      <c r="C21" s="223"/>
      <c r="D21" s="223"/>
      <c r="E21" s="224"/>
      <c r="F21" s="227">
        <f>SUM(F19:F20)</f>
        <v>0</v>
      </c>
      <c r="H21" s="226" t="s">
        <v>18</v>
      </c>
      <c r="I21" s="223"/>
      <c r="J21" s="223"/>
      <c r="K21" s="224"/>
      <c r="L21" s="227">
        <f>SUM(L19:L20)</f>
        <v>0</v>
      </c>
      <c r="N21" s="226" t="s">
        <v>18</v>
      </c>
      <c r="O21" s="223"/>
      <c r="P21" s="223"/>
      <c r="Q21" s="224"/>
      <c r="R21" s="227">
        <f>SUM(R19:R20)</f>
        <v>0</v>
      </c>
    </row>
    <row r="22" spans="2:18" ht="15" x14ac:dyDescent="0.25">
      <c r="B22" s="219" t="s">
        <v>435</v>
      </c>
      <c r="C22" s="223"/>
      <c r="D22" s="223"/>
      <c r="E22" s="224"/>
      <c r="F22" s="225">
        <v>30000</v>
      </c>
      <c r="H22" s="219" t="s">
        <v>435</v>
      </c>
      <c r="I22" s="223"/>
      <c r="J22" s="223"/>
      <c r="K22" s="224"/>
      <c r="L22" s="225">
        <v>30000</v>
      </c>
      <c r="N22" s="219" t="s">
        <v>435</v>
      </c>
      <c r="O22" s="223"/>
      <c r="P22" s="223"/>
      <c r="Q22" s="224"/>
      <c r="R22" s="225">
        <v>30000</v>
      </c>
    </row>
    <row r="23" spans="2:18" ht="15.75" thickBot="1" x14ac:dyDescent="0.3">
      <c r="B23" s="228"/>
      <c r="C23" s="229"/>
      <c r="D23" s="229"/>
      <c r="E23" s="229"/>
      <c r="F23" s="230"/>
      <c r="H23" s="228"/>
      <c r="I23" s="229"/>
      <c r="J23" s="229"/>
      <c r="K23" s="229"/>
      <c r="L23" s="230"/>
      <c r="N23" s="228"/>
      <c r="O23" s="229"/>
      <c r="P23" s="229"/>
      <c r="Q23" s="229"/>
      <c r="R23" s="230"/>
    </row>
    <row r="24" spans="2:18" ht="13.5" thickBot="1" x14ac:dyDescent="0.25"/>
    <row r="25" spans="2:18" ht="15" x14ac:dyDescent="0.25">
      <c r="B25" s="354" t="s">
        <v>527</v>
      </c>
      <c r="C25" s="355"/>
      <c r="D25" s="355"/>
      <c r="E25" s="355"/>
      <c r="F25" s="356"/>
      <c r="H25" s="354" t="s">
        <v>527</v>
      </c>
      <c r="I25" s="355"/>
      <c r="J25" s="355"/>
      <c r="K25" s="355"/>
      <c r="L25" s="356"/>
      <c r="N25" s="354" t="s">
        <v>527</v>
      </c>
      <c r="O25" s="355"/>
      <c r="P25" s="355"/>
      <c r="Q25" s="355"/>
      <c r="R25" s="356"/>
    </row>
    <row r="26" spans="2:18" ht="15.75" thickBot="1" x14ac:dyDescent="0.3">
      <c r="B26" s="197" t="s">
        <v>3</v>
      </c>
      <c r="C26" s="197" t="s">
        <v>507</v>
      </c>
      <c r="D26" s="197" t="s">
        <v>508</v>
      </c>
      <c r="E26" s="197" t="s">
        <v>513</v>
      </c>
      <c r="F26" s="256" t="s">
        <v>509</v>
      </c>
      <c r="H26" s="197" t="s">
        <v>3</v>
      </c>
      <c r="I26" s="197" t="s">
        <v>507</v>
      </c>
      <c r="J26" s="197" t="s">
        <v>508</v>
      </c>
      <c r="K26" s="197" t="s">
        <v>513</v>
      </c>
      <c r="L26" s="256" t="s">
        <v>509</v>
      </c>
      <c r="N26" s="197" t="s">
        <v>3</v>
      </c>
      <c r="O26" s="197" t="s">
        <v>507</v>
      </c>
      <c r="P26" s="197" t="s">
        <v>508</v>
      </c>
      <c r="Q26" s="197" t="s">
        <v>513</v>
      </c>
      <c r="R26" s="256" t="s">
        <v>509</v>
      </c>
    </row>
    <row r="27" spans="2:18" ht="15.75" x14ac:dyDescent="0.25">
      <c r="B27" s="257"/>
      <c r="C27" s="258"/>
      <c r="D27" s="259" t="s">
        <v>12</v>
      </c>
      <c r="E27" s="260"/>
      <c r="F27" s="261">
        <f>C27*E27</f>
        <v>0</v>
      </c>
      <c r="H27" s="257"/>
      <c r="I27" s="258"/>
      <c r="J27" s="259" t="s">
        <v>12</v>
      </c>
      <c r="K27" s="260"/>
      <c r="L27" s="261">
        <f>I27*K27</f>
        <v>0</v>
      </c>
      <c r="N27" s="257"/>
      <c r="O27" s="258"/>
      <c r="P27" s="259" t="s">
        <v>12</v>
      </c>
      <c r="Q27" s="260"/>
      <c r="R27" s="261">
        <f>O27*Q27</f>
        <v>0</v>
      </c>
    </row>
    <row r="28" spans="2:18" ht="15" x14ac:dyDescent="0.25">
      <c r="B28" s="262"/>
      <c r="C28" s="108"/>
      <c r="D28" s="254" t="s">
        <v>12</v>
      </c>
      <c r="E28" s="253"/>
      <c r="F28" s="203">
        <f t="shared" ref="F28:F35" si="6">C28*E28</f>
        <v>0</v>
      </c>
      <c r="H28" s="262"/>
      <c r="I28" s="108"/>
      <c r="J28" s="254" t="s">
        <v>12</v>
      </c>
      <c r="K28" s="253"/>
      <c r="L28" s="203">
        <f t="shared" ref="L28:L35" si="7">I28*K28</f>
        <v>0</v>
      </c>
      <c r="N28" s="262"/>
      <c r="O28" s="108"/>
      <c r="P28" s="254" t="s">
        <v>12</v>
      </c>
      <c r="Q28" s="253"/>
      <c r="R28" s="203">
        <f t="shared" ref="R28:R35" si="8">O28*Q28</f>
        <v>0</v>
      </c>
    </row>
    <row r="29" spans="2:18" ht="15" x14ac:dyDescent="0.25">
      <c r="B29" s="262"/>
      <c r="C29" s="108"/>
      <c r="D29" s="254" t="s">
        <v>12</v>
      </c>
      <c r="E29" s="253"/>
      <c r="F29" s="203">
        <f t="shared" si="6"/>
        <v>0</v>
      </c>
      <c r="H29" s="262"/>
      <c r="I29" s="108"/>
      <c r="J29" s="254" t="s">
        <v>12</v>
      </c>
      <c r="K29" s="253"/>
      <c r="L29" s="203">
        <f t="shared" si="7"/>
        <v>0</v>
      </c>
      <c r="N29" s="262"/>
      <c r="O29" s="108"/>
      <c r="P29" s="254" t="s">
        <v>12</v>
      </c>
      <c r="Q29" s="253"/>
      <c r="R29" s="203">
        <f t="shared" si="8"/>
        <v>0</v>
      </c>
    </row>
    <row r="30" spans="2:18" ht="15" x14ac:dyDescent="0.25">
      <c r="B30" s="262"/>
      <c r="C30" s="108"/>
      <c r="D30" s="254" t="s">
        <v>12</v>
      </c>
      <c r="E30" s="253"/>
      <c r="F30" s="203">
        <f t="shared" si="6"/>
        <v>0</v>
      </c>
      <c r="H30" s="262"/>
      <c r="I30" s="108"/>
      <c r="J30" s="254" t="s">
        <v>12</v>
      </c>
      <c r="K30" s="253"/>
      <c r="L30" s="203">
        <f t="shared" si="7"/>
        <v>0</v>
      </c>
      <c r="N30" s="262"/>
      <c r="O30" s="108"/>
      <c r="P30" s="254" t="s">
        <v>12</v>
      </c>
      <c r="Q30" s="253"/>
      <c r="R30" s="203">
        <f t="shared" si="8"/>
        <v>0</v>
      </c>
    </row>
    <row r="31" spans="2:18" ht="15" x14ac:dyDescent="0.25">
      <c r="B31" s="262"/>
      <c r="C31" s="108"/>
      <c r="D31" s="254" t="s">
        <v>59</v>
      </c>
      <c r="E31" s="253"/>
      <c r="F31" s="203">
        <f t="shared" si="6"/>
        <v>0</v>
      </c>
      <c r="H31" s="262"/>
      <c r="I31" s="108"/>
      <c r="J31" s="254" t="s">
        <v>59</v>
      </c>
      <c r="K31" s="253"/>
      <c r="L31" s="203">
        <f t="shared" si="7"/>
        <v>0</v>
      </c>
      <c r="N31" s="262"/>
      <c r="O31" s="108"/>
      <c r="P31" s="254" t="s">
        <v>59</v>
      </c>
      <c r="Q31" s="253"/>
      <c r="R31" s="203">
        <f t="shared" si="8"/>
        <v>0</v>
      </c>
    </row>
    <row r="32" spans="2:18" ht="15" x14ac:dyDescent="0.25">
      <c r="B32" s="262"/>
      <c r="C32" s="108"/>
      <c r="D32" s="254" t="s">
        <v>59</v>
      </c>
      <c r="E32" s="253"/>
      <c r="F32" s="203">
        <f t="shared" si="6"/>
        <v>0</v>
      </c>
      <c r="H32" s="262"/>
      <c r="I32" s="108"/>
      <c r="J32" s="254" t="s">
        <v>59</v>
      </c>
      <c r="K32" s="253"/>
      <c r="L32" s="203">
        <f t="shared" si="7"/>
        <v>0</v>
      </c>
      <c r="N32" s="262"/>
      <c r="O32" s="108"/>
      <c r="P32" s="254" t="s">
        <v>59</v>
      </c>
      <c r="Q32" s="253"/>
      <c r="R32" s="203">
        <f t="shared" si="8"/>
        <v>0</v>
      </c>
    </row>
    <row r="33" spans="2:18" ht="15.75" x14ac:dyDescent="0.25">
      <c r="B33" s="262"/>
      <c r="C33" s="108"/>
      <c r="D33" s="255" t="s">
        <v>12</v>
      </c>
      <c r="E33" s="253"/>
      <c r="F33" s="203">
        <f t="shared" si="6"/>
        <v>0</v>
      </c>
      <c r="H33" s="262"/>
      <c r="I33" s="108"/>
      <c r="J33" s="255" t="s">
        <v>12</v>
      </c>
      <c r="K33" s="253"/>
      <c r="L33" s="203">
        <f t="shared" si="7"/>
        <v>0</v>
      </c>
      <c r="N33" s="262"/>
      <c r="O33" s="108"/>
      <c r="P33" s="255" t="s">
        <v>12</v>
      </c>
      <c r="Q33" s="253"/>
      <c r="R33" s="203">
        <f t="shared" si="8"/>
        <v>0</v>
      </c>
    </row>
    <row r="34" spans="2:18" ht="15.75" x14ac:dyDescent="0.25">
      <c r="B34" s="265"/>
      <c r="C34" s="108"/>
      <c r="D34" s="255"/>
      <c r="E34" s="253"/>
      <c r="F34" s="203">
        <f t="shared" si="6"/>
        <v>0</v>
      </c>
      <c r="H34" s="265"/>
      <c r="I34" s="108"/>
      <c r="J34" s="255"/>
      <c r="K34" s="253"/>
      <c r="L34" s="203">
        <f t="shared" si="7"/>
        <v>0</v>
      </c>
      <c r="N34" s="265"/>
      <c r="O34" s="108"/>
      <c r="P34" s="255"/>
      <c r="Q34" s="253"/>
      <c r="R34" s="203">
        <f t="shared" si="8"/>
        <v>0</v>
      </c>
    </row>
    <row r="35" spans="2:18" ht="15.75" x14ac:dyDescent="0.25">
      <c r="B35" s="266"/>
      <c r="C35" s="108"/>
      <c r="D35" s="255"/>
      <c r="E35" s="253"/>
      <c r="F35" s="203">
        <f t="shared" si="6"/>
        <v>0</v>
      </c>
      <c r="H35" s="266"/>
      <c r="I35" s="108"/>
      <c r="J35" s="255"/>
      <c r="K35" s="253"/>
      <c r="L35" s="203">
        <f t="shared" si="7"/>
        <v>0</v>
      </c>
      <c r="N35" s="266"/>
      <c r="O35" s="108"/>
      <c r="P35" s="255"/>
      <c r="Q35" s="253"/>
      <c r="R35" s="203">
        <f t="shared" si="8"/>
        <v>0</v>
      </c>
    </row>
    <row r="36" spans="2:18" ht="15" x14ac:dyDescent="0.25">
      <c r="B36" s="216" t="s">
        <v>512</v>
      </c>
      <c r="C36" s="217"/>
      <c r="D36" s="217"/>
      <c r="E36" s="217"/>
      <c r="F36" s="218"/>
      <c r="H36" s="216" t="s">
        <v>512</v>
      </c>
      <c r="I36" s="217"/>
      <c r="J36" s="217"/>
      <c r="K36" s="217"/>
      <c r="L36" s="218"/>
      <c r="N36" s="216" t="s">
        <v>512</v>
      </c>
      <c r="O36" s="217"/>
      <c r="P36" s="217"/>
      <c r="Q36" s="217"/>
      <c r="R36" s="218"/>
    </row>
    <row r="37" spans="2:18" ht="15" x14ac:dyDescent="0.25">
      <c r="B37" s="219"/>
      <c r="C37" s="220"/>
      <c r="D37" s="221"/>
      <c r="E37" s="221"/>
      <c r="F37" s="222">
        <f>C37*140</f>
        <v>0</v>
      </c>
      <c r="H37" s="219"/>
      <c r="I37" s="220"/>
      <c r="J37" s="221"/>
      <c r="K37" s="221"/>
      <c r="L37" s="222">
        <f>I37*140</f>
        <v>0</v>
      </c>
      <c r="N37" s="219"/>
      <c r="O37" s="220"/>
      <c r="P37" s="221"/>
      <c r="Q37" s="221"/>
      <c r="R37" s="222">
        <f>O37*140</f>
        <v>0</v>
      </c>
    </row>
    <row r="38" spans="2:18" ht="15" x14ac:dyDescent="0.25">
      <c r="B38" s="219"/>
      <c r="C38" s="220"/>
      <c r="D38" s="221"/>
      <c r="E38" s="221"/>
      <c r="F38" s="222">
        <f t="shared" ref="F38:F39" si="9">C38*140</f>
        <v>0</v>
      </c>
      <c r="H38" s="219"/>
      <c r="I38" s="220"/>
      <c r="J38" s="221"/>
      <c r="K38" s="221"/>
      <c r="L38" s="222">
        <f t="shared" ref="L38:L39" si="10">I38*140</f>
        <v>0</v>
      </c>
      <c r="N38" s="219"/>
      <c r="O38" s="220"/>
      <c r="P38" s="221"/>
      <c r="Q38" s="221"/>
      <c r="R38" s="222">
        <f t="shared" ref="R38:R39" si="11">O38*140</f>
        <v>0</v>
      </c>
    </row>
    <row r="39" spans="2:18" ht="15" x14ac:dyDescent="0.25">
      <c r="B39" s="219"/>
      <c r="C39" s="220"/>
      <c r="D39" s="221"/>
      <c r="E39" s="221"/>
      <c r="F39" s="222">
        <f t="shared" si="9"/>
        <v>0</v>
      </c>
      <c r="H39" s="219"/>
      <c r="I39" s="220"/>
      <c r="J39" s="221"/>
      <c r="K39" s="221"/>
      <c r="L39" s="222">
        <f t="shared" si="10"/>
        <v>0</v>
      </c>
      <c r="N39" s="219"/>
      <c r="O39" s="220"/>
      <c r="P39" s="221"/>
      <c r="Q39" s="221"/>
      <c r="R39" s="222">
        <f t="shared" si="11"/>
        <v>0</v>
      </c>
    </row>
    <row r="40" spans="2:18" ht="15" x14ac:dyDescent="0.25">
      <c r="B40" s="357" t="s">
        <v>510</v>
      </c>
      <c r="C40" s="358"/>
      <c r="D40" s="358"/>
      <c r="E40" s="358"/>
      <c r="F40" s="359"/>
      <c r="H40" s="357" t="s">
        <v>510</v>
      </c>
      <c r="I40" s="358"/>
      <c r="J40" s="358"/>
      <c r="K40" s="358"/>
      <c r="L40" s="359"/>
      <c r="N40" s="357" t="s">
        <v>510</v>
      </c>
      <c r="O40" s="358"/>
      <c r="P40" s="358"/>
      <c r="Q40" s="358"/>
      <c r="R40" s="359"/>
    </row>
    <row r="41" spans="2:18" ht="15" x14ac:dyDescent="0.25">
      <c r="B41" s="219" t="s">
        <v>511</v>
      </c>
      <c r="C41" s="223"/>
      <c r="D41" s="223"/>
      <c r="E41" s="224"/>
      <c r="F41" s="225">
        <f>(F27+F28+F29+F30+F31+F32+F33+F34+F35+F39)</f>
        <v>0</v>
      </c>
      <c r="H41" s="219" t="s">
        <v>511</v>
      </c>
      <c r="I41" s="223"/>
      <c r="J41" s="223"/>
      <c r="K41" s="224"/>
      <c r="L41" s="225">
        <f>(L27+L28+L29+L30+L31+L32+L33+L34+L35+L39)</f>
        <v>0</v>
      </c>
      <c r="N41" s="219" t="s">
        <v>511</v>
      </c>
      <c r="O41" s="223"/>
      <c r="P41" s="223"/>
      <c r="Q41" s="224"/>
      <c r="R41" s="225">
        <f>(R27+R28+R29+R30+R31+R32+R33+R34+R35+R39)</f>
        <v>0</v>
      </c>
    </row>
    <row r="42" spans="2:18" ht="15" x14ac:dyDescent="0.25">
      <c r="B42" s="226" t="s">
        <v>17</v>
      </c>
      <c r="C42" s="223"/>
      <c r="D42" s="223"/>
      <c r="E42" s="224"/>
      <c r="F42" s="227">
        <f>F41*0.1</f>
        <v>0</v>
      </c>
      <c r="H42" s="226" t="s">
        <v>17</v>
      </c>
      <c r="I42" s="223"/>
      <c r="J42" s="223"/>
      <c r="K42" s="224"/>
      <c r="L42" s="227">
        <f>L41*0.1</f>
        <v>0</v>
      </c>
      <c r="N42" s="226" t="s">
        <v>17</v>
      </c>
      <c r="O42" s="223"/>
      <c r="P42" s="223"/>
      <c r="Q42" s="224"/>
      <c r="R42" s="227">
        <f>R41*0.1</f>
        <v>0</v>
      </c>
    </row>
    <row r="43" spans="2:18" ht="15" x14ac:dyDescent="0.25">
      <c r="B43" s="226" t="s">
        <v>18</v>
      </c>
      <c r="C43" s="223"/>
      <c r="D43" s="223"/>
      <c r="E43" s="224"/>
      <c r="F43" s="227">
        <f>SUM(F41:F42)</f>
        <v>0</v>
      </c>
      <c r="H43" s="226" t="s">
        <v>18</v>
      </c>
      <c r="I43" s="223"/>
      <c r="J43" s="223"/>
      <c r="K43" s="224"/>
      <c r="L43" s="227">
        <f>SUM(L41:L42)</f>
        <v>0</v>
      </c>
      <c r="N43" s="226" t="s">
        <v>18</v>
      </c>
      <c r="O43" s="223"/>
      <c r="P43" s="223"/>
      <c r="Q43" s="224"/>
      <c r="R43" s="227">
        <f>SUM(R41:R42)</f>
        <v>0</v>
      </c>
    </row>
    <row r="44" spans="2:18" ht="15" x14ac:dyDescent="0.25">
      <c r="B44" s="219" t="s">
        <v>435</v>
      </c>
      <c r="C44" s="223"/>
      <c r="D44" s="223"/>
      <c r="E44" s="224"/>
      <c r="F44" s="225">
        <v>30000</v>
      </c>
      <c r="H44" s="219" t="s">
        <v>435</v>
      </c>
      <c r="I44" s="223"/>
      <c r="J44" s="223"/>
      <c r="K44" s="224"/>
      <c r="L44" s="225">
        <v>30000</v>
      </c>
      <c r="N44" s="219" t="s">
        <v>435</v>
      </c>
      <c r="O44" s="223"/>
      <c r="P44" s="223"/>
      <c r="Q44" s="224"/>
      <c r="R44" s="225">
        <v>30000</v>
      </c>
    </row>
    <row r="45" spans="2:18" ht="15.75" thickBot="1" x14ac:dyDescent="0.3">
      <c r="B45" s="228"/>
      <c r="C45" s="229"/>
      <c r="D45" s="229"/>
      <c r="E45" s="229"/>
      <c r="F45" s="230"/>
      <c r="H45" s="228"/>
      <c r="I45" s="229"/>
      <c r="J45" s="229"/>
      <c r="K45" s="229"/>
      <c r="L45" s="230"/>
      <c r="N45" s="228"/>
      <c r="O45" s="229"/>
      <c r="P45" s="229"/>
      <c r="Q45" s="229"/>
      <c r="R45" s="230"/>
    </row>
    <row r="46" spans="2:18" ht="13.5" thickBot="1" x14ac:dyDescent="0.25"/>
    <row r="47" spans="2:18" ht="15" x14ac:dyDescent="0.25">
      <c r="B47" s="354" t="s">
        <v>527</v>
      </c>
      <c r="C47" s="355"/>
      <c r="D47" s="355"/>
      <c r="E47" s="355"/>
      <c r="F47" s="356"/>
      <c r="H47" s="354" t="s">
        <v>527</v>
      </c>
      <c r="I47" s="355"/>
      <c r="J47" s="355"/>
      <c r="K47" s="355"/>
      <c r="L47" s="356"/>
      <c r="N47" s="354" t="s">
        <v>527</v>
      </c>
      <c r="O47" s="355"/>
      <c r="P47" s="355"/>
      <c r="Q47" s="355"/>
      <c r="R47" s="356"/>
    </row>
    <row r="48" spans="2:18" ht="15.75" thickBot="1" x14ac:dyDescent="0.3">
      <c r="B48" s="197" t="s">
        <v>3</v>
      </c>
      <c r="C48" s="197" t="s">
        <v>507</v>
      </c>
      <c r="D48" s="197" t="s">
        <v>508</v>
      </c>
      <c r="E48" s="197" t="s">
        <v>513</v>
      </c>
      <c r="F48" s="256" t="s">
        <v>509</v>
      </c>
      <c r="H48" s="197" t="s">
        <v>3</v>
      </c>
      <c r="I48" s="197" t="s">
        <v>507</v>
      </c>
      <c r="J48" s="197" t="s">
        <v>508</v>
      </c>
      <c r="K48" s="197" t="s">
        <v>513</v>
      </c>
      <c r="L48" s="256" t="s">
        <v>509</v>
      </c>
      <c r="N48" s="197" t="s">
        <v>3</v>
      </c>
      <c r="O48" s="197" t="s">
        <v>507</v>
      </c>
      <c r="P48" s="197" t="s">
        <v>508</v>
      </c>
      <c r="Q48" s="197" t="s">
        <v>513</v>
      </c>
      <c r="R48" s="256" t="s">
        <v>509</v>
      </c>
    </row>
    <row r="49" spans="2:18" ht="15.75" x14ac:dyDescent="0.25">
      <c r="B49" s="257"/>
      <c r="C49" s="258"/>
      <c r="D49" s="259" t="s">
        <v>12</v>
      </c>
      <c r="E49" s="260"/>
      <c r="F49" s="261">
        <f>C49*E49</f>
        <v>0</v>
      </c>
      <c r="H49" s="257"/>
      <c r="I49" s="258"/>
      <c r="J49" s="259" t="s">
        <v>12</v>
      </c>
      <c r="K49" s="260"/>
      <c r="L49" s="261">
        <f>I49*K49</f>
        <v>0</v>
      </c>
      <c r="N49" s="257"/>
      <c r="O49" s="258"/>
      <c r="P49" s="259" t="s">
        <v>12</v>
      </c>
      <c r="Q49" s="260"/>
      <c r="R49" s="261">
        <f>O49*Q49</f>
        <v>0</v>
      </c>
    </row>
    <row r="50" spans="2:18" ht="15" x14ac:dyDescent="0.25">
      <c r="B50" s="262"/>
      <c r="C50" s="108"/>
      <c r="D50" s="254" t="s">
        <v>12</v>
      </c>
      <c r="E50" s="253"/>
      <c r="F50" s="203">
        <f t="shared" ref="F50:F57" si="12">C50*E50</f>
        <v>0</v>
      </c>
      <c r="H50" s="262"/>
      <c r="I50" s="108"/>
      <c r="J50" s="254" t="s">
        <v>12</v>
      </c>
      <c r="K50" s="253"/>
      <c r="L50" s="203">
        <f t="shared" ref="L50:L57" si="13">I50*K50</f>
        <v>0</v>
      </c>
      <c r="N50" s="262"/>
      <c r="O50" s="108"/>
      <c r="P50" s="254" t="s">
        <v>12</v>
      </c>
      <c r="Q50" s="253"/>
      <c r="R50" s="203">
        <f t="shared" ref="R50:R57" si="14">O50*Q50</f>
        <v>0</v>
      </c>
    </row>
    <row r="51" spans="2:18" ht="15" x14ac:dyDescent="0.25">
      <c r="B51" s="262"/>
      <c r="C51" s="108"/>
      <c r="D51" s="254" t="s">
        <v>12</v>
      </c>
      <c r="E51" s="253"/>
      <c r="F51" s="203">
        <f t="shared" si="12"/>
        <v>0</v>
      </c>
      <c r="H51" s="262"/>
      <c r="I51" s="108"/>
      <c r="J51" s="254" t="s">
        <v>12</v>
      </c>
      <c r="K51" s="253"/>
      <c r="L51" s="203">
        <f t="shared" si="13"/>
        <v>0</v>
      </c>
      <c r="N51" s="262"/>
      <c r="O51" s="108"/>
      <c r="P51" s="254" t="s">
        <v>12</v>
      </c>
      <c r="Q51" s="253"/>
      <c r="R51" s="203">
        <f t="shared" si="14"/>
        <v>0</v>
      </c>
    </row>
    <row r="52" spans="2:18" ht="15" x14ac:dyDescent="0.25">
      <c r="B52" s="262"/>
      <c r="C52" s="108"/>
      <c r="D52" s="254" t="s">
        <v>12</v>
      </c>
      <c r="E52" s="253"/>
      <c r="F52" s="203">
        <f t="shared" si="12"/>
        <v>0</v>
      </c>
      <c r="H52" s="262"/>
      <c r="I52" s="108"/>
      <c r="J52" s="254" t="s">
        <v>12</v>
      </c>
      <c r="K52" s="253"/>
      <c r="L52" s="203">
        <f t="shared" si="13"/>
        <v>0</v>
      </c>
      <c r="N52" s="262"/>
      <c r="O52" s="108"/>
      <c r="P52" s="254" t="s">
        <v>12</v>
      </c>
      <c r="Q52" s="253"/>
      <c r="R52" s="203">
        <f t="shared" si="14"/>
        <v>0</v>
      </c>
    </row>
    <row r="53" spans="2:18" ht="15" x14ac:dyDescent="0.25">
      <c r="B53" s="262"/>
      <c r="C53" s="108"/>
      <c r="D53" s="254" t="s">
        <v>59</v>
      </c>
      <c r="E53" s="253"/>
      <c r="F53" s="203">
        <f t="shared" si="12"/>
        <v>0</v>
      </c>
      <c r="H53" s="262"/>
      <c r="I53" s="108"/>
      <c r="J53" s="254" t="s">
        <v>59</v>
      </c>
      <c r="K53" s="253"/>
      <c r="L53" s="203">
        <f t="shared" si="13"/>
        <v>0</v>
      </c>
      <c r="N53" s="262"/>
      <c r="O53" s="108"/>
      <c r="P53" s="254" t="s">
        <v>59</v>
      </c>
      <c r="Q53" s="253"/>
      <c r="R53" s="203">
        <f t="shared" si="14"/>
        <v>0</v>
      </c>
    </row>
    <row r="54" spans="2:18" ht="15" x14ac:dyDescent="0.25">
      <c r="B54" s="262"/>
      <c r="C54" s="108"/>
      <c r="D54" s="254" t="s">
        <v>59</v>
      </c>
      <c r="E54" s="253"/>
      <c r="F54" s="203">
        <f t="shared" si="12"/>
        <v>0</v>
      </c>
      <c r="H54" s="262"/>
      <c r="I54" s="108"/>
      <c r="J54" s="254" t="s">
        <v>59</v>
      </c>
      <c r="K54" s="253"/>
      <c r="L54" s="203">
        <f t="shared" si="13"/>
        <v>0</v>
      </c>
      <c r="N54" s="262"/>
      <c r="O54" s="108"/>
      <c r="P54" s="254" t="s">
        <v>59</v>
      </c>
      <c r="Q54" s="253"/>
      <c r="R54" s="203">
        <f t="shared" si="14"/>
        <v>0</v>
      </c>
    </row>
    <row r="55" spans="2:18" ht="15.75" x14ac:dyDescent="0.25">
      <c r="B55" s="262"/>
      <c r="C55" s="108"/>
      <c r="D55" s="255" t="s">
        <v>12</v>
      </c>
      <c r="E55" s="253"/>
      <c r="F55" s="203">
        <f t="shared" si="12"/>
        <v>0</v>
      </c>
      <c r="H55" s="262"/>
      <c r="I55" s="108"/>
      <c r="J55" s="255" t="s">
        <v>12</v>
      </c>
      <c r="K55" s="253"/>
      <c r="L55" s="203">
        <f t="shared" si="13"/>
        <v>0</v>
      </c>
      <c r="N55" s="262"/>
      <c r="O55" s="108"/>
      <c r="P55" s="255" t="s">
        <v>12</v>
      </c>
      <c r="Q55" s="253"/>
      <c r="R55" s="203">
        <f t="shared" si="14"/>
        <v>0</v>
      </c>
    </row>
    <row r="56" spans="2:18" ht="15.75" x14ac:dyDescent="0.25">
      <c r="B56" s="265"/>
      <c r="C56" s="108"/>
      <c r="D56" s="255"/>
      <c r="E56" s="253"/>
      <c r="F56" s="203">
        <f t="shared" si="12"/>
        <v>0</v>
      </c>
      <c r="H56" s="265"/>
      <c r="I56" s="108"/>
      <c r="J56" s="255"/>
      <c r="K56" s="253"/>
      <c r="L56" s="203">
        <f t="shared" si="13"/>
        <v>0</v>
      </c>
      <c r="N56" s="265"/>
      <c r="O56" s="108"/>
      <c r="P56" s="255"/>
      <c r="Q56" s="253"/>
      <c r="R56" s="203">
        <f t="shared" si="14"/>
        <v>0</v>
      </c>
    </row>
    <row r="57" spans="2:18" ht="15.75" x14ac:dyDescent="0.25">
      <c r="B57" s="266"/>
      <c r="C57" s="108"/>
      <c r="D57" s="255"/>
      <c r="E57" s="253"/>
      <c r="F57" s="203">
        <f t="shared" si="12"/>
        <v>0</v>
      </c>
      <c r="H57" s="266"/>
      <c r="I57" s="108"/>
      <c r="J57" s="255"/>
      <c r="K57" s="253"/>
      <c r="L57" s="203">
        <f t="shared" si="13"/>
        <v>0</v>
      </c>
      <c r="N57" s="266"/>
      <c r="O57" s="108"/>
      <c r="P57" s="255"/>
      <c r="Q57" s="253"/>
      <c r="R57" s="203">
        <f t="shared" si="14"/>
        <v>0</v>
      </c>
    </row>
    <row r="58" spans="2:18" ht="15" x14ac:dyDescent="0.25">
      <c r="B58" s="216" t="s">
        <v>512</v>
      </c>
      <c r="C58" s="217"/>
      <c r="D58" s="217"/>
      <c r="E58" s="217"/>
      <c r="F58" s="218"/>
      <c r="H58" s="216" t="s">
        <v>512</v>
      </c>
      <c r="I58" s="217"/>
      <c r="J58" s="217"/>
      <c r="K58" s="217"/>
      <c r="L58" s="218"/>
      <c r="N58" s="216" t="s">
        <v>512</v>
      </c>
      <c r="O58" s="217"/>
      <c r="P58" s="217"/>
      <c r="Q58" s="217"/>
      <c r="R58" s="218"/>
    </row>
    <row r="59" spans="2:18" ht="15" x14ac:dyDescent="0.25">
      <c r="B59" s="219"/>
      <c r="C59" s="220"/>
      <c r="D59" s="221"/>
      <c r="E59" s="221"/>
      <c r="F59" s="222">
        <f>C59*140</f>
        <v>0</v>
      </c>
      <c r="H59" s="219"/>
      <c r="I59" s="220"/>
      <c r="J59" s="221"/>
      <c r="K59" s="221"/>
      <c r="L59" s="222">
        <f>I59*140</f>
        <v>0</v>
      </c>
      <c r="N59" s="219"/>
      <c r="O59" s="220"/>
      <c r="P59" s="221"/>
      <c r="Q59" s="221"/>
      <c r="R59" s="222">
        <f>O59*140</f>
        <v>0</v>
      </c>
    </row>
    <row r="60" spans="2:18" ht="15" x14ac:dyDescent="0.25">
      <c r="B60" s="219"/>
      <c r="C60" s="220"/>
      <c r="D60" s="221"/>
      <c r="E60" s="221"/>
      <c r="F60" s="222">
        <f t="shared" ref="F60:F61" si="15">C60*140</f>
        <v>0</v>
      </c>
      <c r="H60" s="219"/>
      <c r="I60" s="220"/>
      <c r="J60" s="221"/>
      <c r="K60" s="221"/>
      <c r="L60" s="222">
        <f t="shared" ref="L60:L61" si="16">I60*140</f>
        <v>0</v>
      </c>
      <c r="N60" s="219"/>
      <c r="O60" s="220"/>
      <c r="P60" s="221"/>
      <c r="Q60" s="221"/>
      <c r="R60" s="222">
        <f t="shared" ref="R60:R61" si="17">O60*140</f>
        <v>0</v>
      </c>
    </row>
    <row r="61" spans="2:18" ht="15" x14ac:dyDescent="0.25">
      <c r="B61" s="219"/>
      <c r="C61" s="220"/>
      <c r="D61" s="221"/>
      <c r="E61" s="221"/>
      <c r="F61" s="222">
        <f t="shared" si="15"/>
        <v>0</v>
      </c>
      <c r="H61" s="219"/>
      <c r="I61" s="220"/>
      <c r="J61" s="221"/>
      <c r="K61" s="221"/>
      <c r="L61" s="222">
        <f t="shared" si="16"/>
        <v>0</v>
      </c>
      <c r="N61" s="219"/>
      <c r="O61" s="220"/>
      <c r="P61" s="221"/>
      <c r="Q61" s="221"/>
      <c r="R61" s="222">
        <f t="shared" si="17"/>
        <v>0</v>
      </c>
    </row>
    <row r="62" spans="2:18" ht="15" x14ac:dyDescent="0.25">
      <c r="B62" s="357" t="s">
        <v>510</v>
      </c>
      <c r="C62" s="358"/>
      <c r="D62" s="358"/>
      <c r="E62" s="358"/>
      <c r="F62" s="359"/>
      <c r="H62" s="357" t="s">
        <v>510</v>
      </c>
      <c r="I62" s="358"/>
      <c r="J62" s="358"/>
      <c r="K62" s="358"/>
      <c r="L62" s="359"/>
      <c r="N62" s="357" t="s">
        <v>510</v>
      </c>
      <c r="O62" s="358"/>
      <c r="P62" s="358"/>
      <c r="Q62" s="358"/>
      <c r="R62" s="359"/>
    </row>
    <row r="63" spans="2:18" ht="15" x14ac:dyDescent="0.25">
      <c r="B63" s="219" t="s">
        <v>511</v>
      </c>
      <c r="C63" s="223"/>
      <c r="D63" s="223"/>
      <c r="E63" s="224"/>
      <c r="F63" s="225">
        <f>(F49+F50+F51+F52+F53+F54+F55+F56+F57+F61)</f>
        <v>0</v>
      </c>
      <c r="H63" s="219" t="s">
        <v>511</v>
      </c>
      <c r="I63" s="223"/>
      <c r="J63" s="223"/>
      <c r="K63" s="224"/>
      <c r="L63" s="225">
        <f>(L49+L50+L51+L52+L53+L54+L55+L56+L57+L61)</f>
        <v>0</v>
      </c>
      <c r="N63" s="219" t="s">
        <v>511</v>
      </c>
      <c r="O63" s="223"/>
      <c r="P63" s="223"/>
      <c r="Q63" s="224"/>
      <c r="R63" s="225">
        <f>(R49+R50+R51+R52+R53+R54+R55+R56+R57+R61)</f>
        <v>0</v>
      </c>
    </row>
    <row r="64" spans="2:18" ht="15" x14ac:dyDescent="0.25">
      <c r="B64" s="226" t="s">
        <v>17</v>
      </c>
      <c r="C64" s="223"/>
      <c r="D64" s="223"/>
      <c r="E64" s="224"/>
      <c r="F64" s="227">
        <f>F63*0.1</f>
        <v>0</v>
      </c>
      <c r="H64" s="226" t="s">
        <v>17</v>
      </c>
      <c r="I64" s="223"/>
      <c r="J64" s="223"/>
      <c r="K64" s="224"/>
      <c r="L64" s="227">
        <f>L63*0.1</f>
        <v>0</v>
      </c>
      <c r="N64" s="226" t="s">
        <v>17</v>
      </c>
      <c r="O64" s="223"/>
      <c r="P64" s="223"/>
      <c r="Q64" s="224"/>
      <c r="R64" s="227">
        <f>R63*0.1</f>
        <v>0</v>
      </c>
    </row>
    <row r="65" spans="2:18" ht="15" x14ac:dyDescent="0.25">
      <c r="B65" s="226" t="s">
        <v>18</v>
      </c>
      <c r="C65" s="223"/>
      <c r="D65" s="223"/>
      <c r="E65" s="224"/>
      <c r="F65" s="227">
        <f>SUM(F63:F64)</f>
        <v>0</v>
      </c>
      <c r="H65" s="226" t="s">
        <v>18</v>
      </c>
      <c r="I65" s="223"/>
      <c r="J65" s="223"/>
      <c r="K65" s="224"/>
      <c r="L65" s="227">
        <f>SUM(L63:L64)</f>
        <v>0</v>
      </c>
      <c r="N65" s="226" t="s">
        <v>18</v>
      </c>
      <c r="O65" s="223"/>
      <c r="P65" s="223"/>
      <c r="Q65" s="224"/>
      <c r="R65" s="227">
        <f>SUM(R63:R64)</f>
        <v>0</v>
      </c>
    </row>
    <row r="66" spans="2:18" ht="15" x14ac:dyDescent="0.25">
      <c r="B66" s="219" t="s">
        <v>435</v>
      </c>
      <c r="C66" s="223"/>
      <c r="D66" s="223"/>
      <c r="E66" s="224"/>
      <c r="F66" s="225">
        <v>30000</v>
      </c>
      <c r="H66" s="219" t="s">
        <v>435</v>
      </c>
      <c r="I66" s="223"/>
      <c r="J66" s="223"/>
      <c r="K66" s="224"/>
      <c r="L66" s="225">
        <v>30000</v>
      </c>
      <c r="N66" s="219" t="s">
        <v>435</v>
      </c>
      <c r="O66" s="223"/>
      <c r="P66" s="223"/>
      <c r="Q66" s="224"/>
      <c r="R66" s="225">
        <v>30000</v>
      </c>
    </row>
    <row r="67" spans="2:18" ht="15.75" thickBot="1" x14ac:dyDescent="0.3">
      <c r="B67" s="228"/>
      <c r="C67" s="229"/>
      <c r="D67" s="229"/>
      <c r="E67" s="229"/>
      <c r="F67" s="230"/>
      <c r="H67" s="228"/>
      <c r="I67" s="229"/>
      <c r="J67" s="229"/>
      <c r="K67" s="229"/>
      <c r="L67" s="230"/>
      <c r="N67" s="228"/>
      <c r="O67" s="229"/>
      <c r="P67" s="229"/>
      <c r="Q67" s="229"/>
      <c r="R67" s="230"/>
    </row>
  </sheetData>
  <mergeCells count="18">
    <mergeCell ref="B47:F47"/>
    <mergeCell ref="H47:L47"/>
    <mergeCell ref="N47:R47"/>
    <mergeCell ref="B62:F62"/>
    <mergeCell ref="H62:L62"/>
    <mergeCell ref="N62:R62"/>
    <mergeCell ref="B25:F25"/>
    <mergeCell ref="H25:L25"/>
    <mergeCell ref="N25:R25"/>
    <mergeCell ref="B40:F40"/>
    <mergeCell ref="H40:L40"/>
    <mergeCell ref="N40:R40"/>
    <mergeCell ref="B3:F3"/>
    <mergeCell ref="H3:L3"/>
    <mergeCell ref="N3:R3"/>
    <mergeCell ref="B18:F18"/>
    <mergeCell ref="H18:L18"/>
    <mergeCell ref="N18:R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F412-428A-427D-8CFD-00F2D1351DDA}">
  <dimension ref="B2:B5"/>
  <sheetViews>
    <sheetView workbookViewId="0">
      <selection activeCell="B5" sqref="B5"/>
    </sheetView>
  </sheetViews>
  <sheetFormatPr baseColWidth="10" defaultRowHeight="12.75" x14ac:dyDescent="0.2"/>
  <cols>
    <col min="2" max="2" width="25.42578125" bestFit="1" customWidth="1"/>
  </cols>
  <sheetData>
    <row r="2" spans="2:2" ht="14.25" x14ac:dyDescent="0.2">
      <c r="B2" s="195" t="s">
        <v>551</v>
      </c>
    </row>
    <row r="3" spans="2:2" ht="14.25" x14ac:dyDescent="0.2">
      <c r="B3" s="195" t="s">
        <v>552</v>
      </c>
    </row>
    <row r="4" spans="2:2" ht="14.25" x14ac:dyDescent="0.2">
      <c r="B4" s="195" t="s">
        <v>553</v>
      </c>
    </row>
    <row r="5" spans="2:2" ht="14.25" x14ac:dyDescent="0.2">
      <c r="B5" s="195" t="s">
        <v>554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7AF9-F3CC-459F-A12F-83AD6C4777C1}">
  <dimension ref="A1:M165"/>
  <sheetViews>
    <sheetView topLeftCell="A4" zoomScale="110" zoomScaleNormal="110" workbookViewId="0">
      <selection activeCell="A4" sqref="A4"/>
    </sheetView>
  </sheetViews>
  <sheetFormatPr baseColWidth="10" defaultRowHeight="12.75" x14ac:dyDescent="0.2"/>
  <cols>
    <col min="1" max="1" width="24.140625" bestFit="1" customWidth="1"/>
    <col min="2" max="2" width="2.85546875" customWidth="1"/>
    <col min="3" max="3" width="45.28515625" bestFit="1" customWidth="1"/>
    <col min="4" max="5" width="14.28515625" customWidth="1"/>
    <col min="6" max="6" width="14.7109375" customWidth="1"/>
    <col min="7" max="7" width="14.42578125" customWidth="1"/>
    <col min="8" max="8" width="15" customWidth="1"/>
    <col min="9" max="9" width="14.140625" customWidth="1"/>
    <col min="10" max="10" width="13.42578125" bestFit="1" customWidth="1"/>
    <col min="11" max="11" width="15.140625" style="124" bestFit="1" customWidth="1"/>
    <col min="13" max="13" width="11.42578125" style="136"/>
  </cols>
  <sheetData>
    <row r="1" spans="1:13" ht="20.25" x14ac:dyDescent="0.3">
      <c r="A1" s="360" t="s">
        <v>239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</row>
    <row r="2" spans="1:13" ht="34.5" customHeight="1" x14ac:dyDescent="0.2">
      <c r="A2" s="114" t="s">
        <v>242</v>
      </c>
      <c r="B2" s="121" t="s">
        <v>240</v>
      </c>
      <c r="C2" s="115" t="s">
        <v>244</v>
      </c>
      <c r="D2" s="116" t="s">
        <v>397</v>
      </c>
      <c r="E2" s="116" t="s">
        <v>397</v>
      </c>
      <c r="F2" s="116" t="s">
        <v>397</v>
      </c>
      <c r="G2" s="116" t="s">
        <v>397</v>
      </c>
      <c r="H2" s="116" t="s">
        <v>397</v>
      </c>
      <c r="I2" s="116" t="s">
        <v>397</v>
      </c>
      <c r="J2" s="116" t="s">
        <v>397</v>
      </c>
      <c r="K2" s="122" t="s">
        <v>250</v>
      </c>
      <c r="L2" s="122" t="s">
        <v>241</v>
      </c>
      <c r="M2" s="137" t="s">
        <v>338</v>
      </c>
    </row>
    <row r="3" spans="1:13" ht="28.5" x14ac:dyDescent="0.2">
      <c r="A3" s="149"/>
      <c r="B3" s="149"/>
      <c r="C3" s="149" t="s">
        <v>271</v>
      </c>
      <c r="D3" s="180" t="s">
        <v>312</v>
      </c>
      <c r="E3" s="177" t="s">
        <v>346</v>
      </c>
      <c r="F3" s="149" t="s">
        <v>451</v>
      </c>
      <c r="G3" s="180" t="s">
        <v>273</v>
      </c>
      <c r="H3" s="177" t="s">
        <v>449</v>
      </c>
      <c r="I3" s="180" t="s">
        <v>264</v>
      </c>
      <c r="J3" s="180" t="s">
        <v>374</v>
      </c>
      <c r="K3" s="133"/>
      <c r="L3" s="149"/>
    </row>
    <row r="4" spans="1:13" ht="14.25" x14ac:dyDescent="0.2">
      <c r="A4" s="119" t="s">
        <v>264</v>
      </c>
      <c r="C4" s="125" t="s">
        <v>265</v>
      </c>
      <c r="D4" s="125"/>
      <c r="E4" s="125"/>
      <c r="F4" s="125"/>
      <c r="G4" s="125"/>
      <c r="H4" s="125"/>
      <c r="I4" s="118">
        <v>47900</v>
      </c>
      <c r="J4" s="150">
        <v>56000</v>
      </c>
      <c r="K4" s="123">
        <v>1000</v>
      </c>
      <c r="L4" s="126" t="s">
        <v>249</v>
      </c>
      <c r="M4" s="136">
        <f t="shared" ref="M4:M76" si="0">I4/K4</f>
        <v>47.9</v>
      </c>
    </row>
    <row r="5" spans="1:13" ht="14.25" x14ac:dyDescent="0.2">
      <c r="A5" s="119" t="s">
        <v>264</v>
      </c>
      <c r="C5" s="125" t="s">
        <v>266</v>
      </c>
      <c r="D5" s="125"/>
      <c r="E5" s="125"/>
      <c r="F5" s="125"/>
      <c r="G5" s="125"/>
      <c r="H5" s="125"/>
      <c r="I5" s="118">
        <v>21900</v>
      </c>
      <c r="J5" s="118"/>
      <c r="K5" s="123">
        <v>1000</v>
      </c>
      <c r="L5" s="126" t="s">
        <v>249</v>
      </c>
      <c r="M5" s="136">
        <f t="shared" si="0"/>
        <v>21.9</v>
      </c>
    </row>
    <row r="6" spans="1:13" ht="14.25" x14ac:dyDescent="0.2">
      <c r="A6" s="119" t="s">
        <v>264</v>
      </c>
      <c r="C6" s="125" t="s">
        <v>267</v>
      </c>
      <c r="D6" s="125"/>
      <c r="E6" s="125"/>
      <c r="F6" s="125"/>
      <c r="G6" s="125"/>
      <c r="H6" s="125"/>
      <c r="I6" s="118">
        <v>20500</v>
      </c>
      <c r="J6" s="118"/>
      <c r="K6" s="123">
        <v>1000</v>
      </c>
      <c r="L6" s="126" t="s">
        <v>249</v>
      </c>
      <c r="M6" s="136">
        <f t="shared" si="0"/>
        <v>20.5</v>
      </c>
    </row>
    <row r="7" spans="1:13" ht="14.25" x14ac:dyDescent="0.2">
      <c r="A7" s="119" t="s">
        <v>264</v>
      </c>
      <c r="C7" s="125" t="s">
        <v>270</v>
      </c>
      <c r="D7" s="125"/>
      <c r="E7" s="125"/>
      <c r="F7" s="125"/>
      <c r="G7" s="125"/>
      <c r="H7" s="125"/>
      <c r="I7" s="118">
        <v>19900</v>
      </c>
      <c r="J7" s="118"/>
      <c r="K7" s="123">
        <v>1000</v>
      </c>
      <c r="L7" s="126" t="s">
        <v>249</v>
      </c>
      <c r="M7" s="136">
        <f t="shared" si="0"/>
        <v>19.899999999999999</v>
      </c>
    </row>
    <row r="8" spans="1:13" ht="14.25" x14ac:dyDescent="0.2">
      <c r="A8" s="132" t="s">
        <v>264</v>
      </c>
      <c r="C8" s="125" t="s">
        <v>298</v>
      </c>
      <c r="D8" s="125"/>
      <c r="E8" s="125"/>
      <c r="F8" s="125"/>
      <c r="G8" s="125"/>
      <c r="H8" s="125"/>
      <c r="I8" s="118">
        <v>26900</v>
      </c>
      <c r="J8" s="118"/>
      <c r="K8" s="123">
        <v>1000</v>
      </c>
      <c r="L8" s="126" t="s">
        <v>249</v>
      </c>
      <c r="M8" s="136">
        <f t="shared" si="0"/>
        <v>26.9</v>
      </c>
    </row>
    <row r="9" spans="1:13" ht="14.25" x14ac:dyDescent="0.2">
      <c r="A9" s="132" t="s">
        <v>264</v>
      </c>
      <c r="C9" s="125" t="s">
        <v>447</v>
      </c>
      <c r="D9" s="125"/>
      <c r="E9" s="125"/>
      <c r="F9" s="125"/>
      <c r="G9" s="125"/>
      <c r="H9" s="125"/>
      <c r="I9" s="118">
        <v>57900</v>
      </c>
      <c r="J9" s="118"/>
      <c r="K9" s="123"/>
      <c r="L9" s="126"/>
    </row>
    <row r="10" spans="1:13" ht="14.25" x14ac:dyDescent="0.2">
      <c r="A10" s="132" t="s">
        <v>264</v>
      </c>
      <c r="C10" s="125" t="s">
        <v>448</v>
      </c>
      <c r="D10" s="125"/>
      <c r="E10" s="125"/>
      <c r="F10" s="125"/>
      <c r="G10" s="125"/>
      <c r="H10" s="125"/>
      <c r="I10" s="118">
        <v>45900.11</v>
      </c>
      <c r="J10" s="118"/>
      <c r="K10" s="123"/>
      <c r="L10" s="126"/>
    </row>
    <row r="11" spans="1:13" ht="14.25" x14ac:dyDescent="0.2">
      <c r="A11" s="132" t="s">
        <v>273</v>
      </c>
      <c r="C11" s="120" t="s">
        <v>293</v>
      </c>
      <c r="D11" s="120"/>
      <c r="E11" s="120"/>
      <c r="F11" s="120"/>
      <c r="G11" s="118">
        <v>9400</v>
      </c>
      <c r="H11" s="117"/>
      <c r="J11" s="118">
        <v>8500</v>
      </c>
      <c r="K11" s="123">
        <v>1000</v>
      </c>
      <c r="L11" s="126" t="s">
        <v>249</v>
      </c>
      <c r="M11" s="136">
        <f>G11/K11</f>
        <v>9.4</v>
      </c>
    </row>
    <row r="12" spans="1:13" ht="14.25" x14ac:dyDescent="0.2">
      <c r="A12" s="132" t="s">
        <v>273</v>
      </c>
      <c r="C12" s="125" t="s">
        <v>525</v>
      </c>
      <c r="D12" s="125"/>
      <c r="E12" s="125"/>
      <c r="F12" s="125"/>
      <c r="G12" s="176">
        <v>64000</v>
      </c>
      <c r="H12" s="150"/>
      <c r="I12" s="150"/>
      <c r="J12" s="118">
        <v>47800</v>
      </c>
      <c r="K12" s="123">
        <v>1000</v>
      </c>
      <c r="L12" s="126" t="s">
        <v>249</v>
      </c>
      <c r="M12" s="136">
        <f>I12/K12</f>
        <v>0</v>
      </c>
    </row>
    <row r="13" spans="1:13" ht="14.25" x14ac:dyDescent="0.2">
      <c r="A13" s="132" t="s">
        <v>273</v>
      </c>
      <c r="C13" s="125" t="s">
        <v>524</v>
      </c>
      <c r="D13" s="125"/>
      <c r="E13" s="125"/>
      <c r="F13" s="125"/>
      <c r="G13" s="176">
        <v>54000</v>
      </c>
      <c r="H13" s="179"/>
      <c r="J13" s="118">
        <v>44200</v>
      </c>
      <c r="K13" s="123">
        <v>1000</v>
      </c>
      <c r="L13" s="126" t="s">
        <v>249</v>
      </c>
      <c r="M13" s="136">
        <f>G13/K13</f>
        <v>54</v>
      </c>
    </row>
    <row r="14" spans="1:13" ht="14.25" x14ac:dyDescent="0.2">
      <c r="A14" s="175" t="s">
        <v>449</v>
      </c>
      <c r="C14" s="125" t="s">
        <v>450</v>
      </c>
      <c r="D14" s="125"/>
      <c r="E14" s="125"/>
      <c r="F14" s="125"/>
      <c r="G14" s="125"/>
      <c r="H14" s="176">
        <v>23550</v>
      </c>
      <c r="I14" s="176"/>
      <c r="J14" s="118"/>
      <c r="K14" s="123">
        <v>1001</v>
      </c>
      <c r="L14" s="126" t="s">
        <v>249</v>
      </c>
      <c r="M14" s="136">
        <f t="shared" ref="M14" si="1">I14/K14</f>
        <v>0</v>
      </c>
    </row>
    <row r="15" spans="1:13" ht="14.25" x14ac:dyDescent="0.2">
      <c r="A15" s="132" t="s">
        <v>312</v>
      </c>
      <c r="C15" s="281" t="s">
        <v>565</v>
      </c>
      <c r="D15" s="118">
        <v>63500</v>
      </c>
      <c r="E15" s="125"/>
      <c r="F15" s="125"/>
      <c r="G15" s="125"/>
      <c r="H15" s="125"/>
      <c r="I15" s="118"/>
      <c r="J15" s="118"/>
      <c r="K15" s="123">
        <v>1000</v>
      </c>
      <c r="L15" s="126" t="s">
        <v>249</v>
      </c>
      <c r="M15" s="136">
        <f>D15/K15</f>
        <v>63.5</v>
      </c>
    </row>
    <row r="16" spans="1:13" ht="14.25" x14ac:dyDescent="0.2">
      <c r="A16" s="139" t="s">
        <v>346</v>
      </c>
      <c r="C16" s="125" t="s">
        <v>347</v>
      </c>
      <c r="D16" s="125"/>
      <c r="E16" s="118">
        <v>13450</v>
      </c>
      <c r="F16" s="125"/>
      <c r="G16" s="125"/>
      <c r="H16" s="125"/>
      <c r="I16" s="118"/>
      <c r="J16" s="118"/>
      <c r="K16" s="123">
        <v>5</v>
      </c>
      <c r="L16" s="126" t="s">
        <v>249</v>
      </c>
      <c r="M16" s="136">
        <f t="shared" si="0"/>
        <v>0</v>
      </c>
    </row>
    <row r="17" spans="1:13" ht="14.25" x14ac:dyDescent="0.2">
      <c r="A17" s="152" t="s">
        <v>396</v>
      </c>
      <c r="C17" s="125" t="s">
        <v>373</v>
      </c>
      <c r="D17" s="125"/>
      <c r="E17" s="125"/>
      <c r="F17" s="125"/>
      <c r="G17" s="125"/>
      <c r="H17" s="125"/>
      <c r="I17" s="151">
        <v>33270</v>
      </c>
      <c r="J17" s="118">
        <v>25400</v>
      </c>
      <c r="K17" s="123">
        <v>1000</v>
      </c>
      <c r="L17" s="126" t="s">
        <v>249</v>
      </c>
      <c r="M17" s="136">
        <f>J17/K17</f>
        <v>25.4</v>
      </c>
    </row>
    <row r="18" spans="1:13" ht="14.25" x14ac:dyDescent="0.2">
      <c r="A18" s="132" t="s">
        <v>307</v>
      </c>
      <c r="C18" s="125" t="s">
        <v>304</v>
      </c>
      <c r="D18" s="125"/>
      <c r="E18" s="125"/>
      <c r="F18" s="118">
        <v>23000</v>
      </c>
      <c r="G18" s="125"/>
      <c r="H18" s="125"/>
      <c r="I18" s="118"/>
      <c r="J18" s="118"/>
      <c r="K18" s="123">
        <v>1000</v>
      </c>
      <c r="L18" s="126" t="s">
        <v>249</v>
      </c>
      <c r="M18" s="136">
        <f>I18/K18</f>
        <v>0</v>
      </c>
    </row>
    <row r="19" spans="1:13" ht="14.25" x14ac:dyDescent="0.2">
      <c r="A19" s="132" t="s">
        <v>307</v>
      </c>
      <c r="C19" s="125" t="s">
        <v>309</v>
      </c>
      <c r="D19" s="125"/>
      <c r="E19" s="125"/>
      <c r="F19" s="118">
        <v>5238.1000000000004</v>
      </c>
      <c r="G19" s="125"/>
      <c r="H19" s="125"/>
      <c r="I19" s="118"/>
      <c r="J19" s="134"/>
      <c r="K19" s="127">
        <v>500</v>
      </c>
      <c r="L19" s="126" t="s">
        <v>249</v>
      </c>
      <c r="M19" s="136">
        <f>I19/K19</f>
        <v>0</v>
      </c>
    </row>
    <row r="21" spans="1:13" ht="14.25" x14ac:dyDescent="0.2">
      <c r="A21" s="132"/>
      <c r="C21" s="128"/>
      <c r="D21" s="128"/>
      <c r="E21" s="128"/>
      <c r="F21" s="128"/>
      <c r="G21" s="128"/>
      <c r="H21" s="128"/>
      <c r="I21" s="117"/>
      <c r="J21" s="117"/>
      <c r="K21" s="131"/>
      <c r="L21" s="126"/>
    </row>
    <row r="22" spans="1:13" ht="28.5" x14ac:dyDescent="0.2">
      <c r="A22" s="149"/>
      <c r="B22" s="149"/>
      <c r="C22" s="149" t="s">
        <v>310</v>
      </c>
      <c r="D22" s="149" t="s">
        <v>451</v>
      </c>
      <c r="E22" s="181" t="s">
        <v>454</v>
      </c>
      <c r="F22" s="149" t="s">
        <v>540</v>
      </c>
      <c r="G22" s="149"/>
      <c r="H22" s="149"/>
      <c r="I22" s="149"/>
      <c r="J22" s="149"/>
      <c r="K22" s="149"/>
      <c r="L22" s="149"/>
    </row>
    <row r="23" spans="1:13" ht="14.25" x14ac:dyDescent="0.2">
      <c r="A23" s="133"/>
      <c r="B23" s="133"/>
      <c r="C23" s="274" t="s">
        <v>453</v>
      </c>
      <c r="D23" s="276"/>
      <c r="E23" s="276">
        <v>11000</v>
      </c>
      <c r="F23" s="277"/>
      <c r="G23" s="144"/>
      <c r="H23" s="144"/>
      <c r="I23" s="145"/>
      <c r="J23" s="145"/>
      <c r="K23" s="123"/>
      <c r="L23" s="126"/>
    </row>
    <row r="24" spans="1:13" ht="14.25" x14ac:dyDescent="0.2">
      <c r="A24" s="133"/>
      <c r="B24" s="133"/>
      <c r="C24" s="275" t="s">
        <v>363</v>
      </c>
      <c r="D24" s="276">
        <v>48800</v>
      </c>
      <c r="E24" s="276">
        <v>54000</v>
      </c>
      <c r="F24" s="277"/>
      <c r="G24" s="144"/>
      <c r="H24" s="144"/>
      <c r="I24" s="145"/>
      <c r="J24" s="145"/>
      <c r="K24" s="123">
        <v>2500</v>
      </c>
      <c r="L24" s="126" t="s">
        <v>249</v>
      </c>
      <c r="M24" s="136">
        <f>I24/K24</f>
        <v>0</v>
      </c>
    </row>
    <row r="25" spans="1:13" ht="14.25" x14ac:dyDescent="0.2">
      <c r="A25" s="133"/>
      <c r="B25" s="133"/>
      <c r="C25" s="135" t="s">
        <v>311</v>
      </c>
      <c r="D25" s="118">
        <v>48800</v>
      </c>
      <c r="E25" s="118">
        <v>53000</v>
      </c>
      <c r="F25" s="277"/>
      <c r="G25" s="144"/>
      <c r="H25" s="144"/>
      <c r="I25" s="145"/>
      <c r="J25" s="145"/>
      <c r="K25" s="123"/>
      <c r="L25" s="126"/>
    </row>
    <row r="26" spans="1:13" ht="14.25" x14ac:dyDescent="0.2">
      <c r="A26" s="132"/>
      <c r="C26" s="135" t="s">
        <v>542</v>
      </c>
      <c r="D26" s="118"/>
      <c r="E26" s="118"/>
      <c r="F26" s="189">
        <v>17950</v>
      </c>
      <c r="G26" s="135"/>
      <c r="H26" s="135"/>
      <c r="I26" s="118"/>
      <c r="J26" s="118"/>
      <c r="K26" s="123">
        <v>850</v>
      </c>
      <c r="L26" s="126" t="s">
        <v>249</v>
      </c>
      <c r="M26" s="136">
        <f>F26/K26</f>
        <v>21.117647058823529</v>
      </c>
    </row>
    <row r="27" spans="1:13" ht="14.25" x14ac:dyDescent="0.2">
      <c r="A27" s="132"/>
      <c r="C27" s="278" t="s">
        <v>541</v>
      </c>
      <c r="D27" s="128"/>
      <c r="E27" s="279">
        <v>27000</v>
      </c>
      <c r="F27" s="279"/>
      <c r="G27" s="128"/>
      <c r="H27" s="128"/>
      <c r="I27" s="117"/>
      <c r="J27" s="117"/>
      <c r="K27" s="127">
        <v>2000</v>
      </c>
      <c r="L27" s="280" t="s">
        <v>247</v>
      </c>
      <c r="M27" s="136">
        <f>E27/K27</f>
        <v>13.5</v>
      </c>
    </row>
    <row r="28" spans="1:13" ht="28.5" x14ac:dyDescent="0.2">
      <c r="A28" s="133"/>
      <c r="B28" s="133"/>
      <c r="C28" s="149" t="s">
        <v>305</v>
      </c>
      <c r="D28" s="180" t="s">
        <v>273</v>
      </c>
      <c r="E28" s="180" t="s">
        <v>264</v>
      </c>
      <c r="F28" s="149"/>
      <c r="G28" s="149"/>
      <c r="H28" s="149"/>
      <c r="I28" s="177"/>
      <c r="K28" s="133"/>
      <c r="L28" s="133"/>
    </row>
    <row r="29" spans="1:13" ht="14.25" x14ac:dyDescent="0.2">
      <c r="A29" s="129" t="s">
        <v>273</v>
      </c>
      <c r="C29" s="125" t="s">
        <v>296</v>
      </c>
      <c r="D29" s="118">
        <v>4200</v>
      </c>
      <c r="E29" s="118"/>
      <c r="F29" s="125"/>
      <c r="G29" s="125"/>
      <c r="H29" s="125"/>
      <c r="I29" s="118"/>
      <c r="J29" s="118"/>
      <c r="K29" s="123">
        <v>1000</v>
      </c>
      <c r="L29" s="126" t="s">
        <v>249</v>
      </c>
      <c r="M29" s="136">
        <f t="shared" si="0"/>
        <v>0</v>
      </c>
    </row>
    <row r="30" spans="1:13" ht="14.25" x14ac:dyDescent="0.2">
      <c r="A30" s="119" t="s">
        <v>264</v>
      </c>
      <c r="C30" s="135" t="s">
        <v>268</v>
      </c>
      <c r="E30" s="118">
        <v>20500</v>
      </c>
      <c r="F30" s="178"/>
      <c r="G30" s="178"/>
      <c r="H30" s="178"/>
      <c r="J30" s="118"/>
      <c r="K30" s="123">
        <v>3000</v>
      </c>
      <c r="L30" s="126" t="s">
        <v>249</v>
      </c>
      <c r="M30" s="136">
        <f>J30/K30</f>
        <v>0</v>
      </c>
    </row>
    <row r="31" spans="1:13" ht="28.5" x14ac:dyDescent="0.2">
      <c r="B31" s="149"/>
      <c r="C31" s="149" t="s">
        <v>306</v>
      </c>
      <c r="D31" s="149" t="s">
        <v>451</v>
      </c>
      <c r="E31" s="180" t="s">
        <v>264</v>
      </c>
      <c r="F31" s="149" t="s">
        <v>287</v>
      </c>
      <c r="G31" s="149" t="s">
        <v>489</v>
      </c>
      <c r="H31" s="149"/>
      <c r="I31" s="177"/>
      <c r="J31" s="149"/>
      <c r="K31" s="149"/>
      <c r="L31" s="149"/>
    </row>
    <row r="32" spans="1:13" ht="14.25" x14ac:dyDescent="0.2">
      <c r="A32" s="133"/>
      <c r="B32" s="133"/>
      <c r="C32" s="175" t="s">
        <v>452</v>
      </c>
      <c r="D32" s="175"/>
      <c r="E32" s="118">
        <v>8400</v>
      </c>
      <c r="F32" s="175"/>
      <c r="G32" s="175"/>
      <c r="H32" s="175"/>
      <c r="I32" s="118"/>
      <c r="J32" s="118"/>
      <c r="K32" s="123">
        <v>8</v>
      </c>
      <c r="L32" s="126" t="s">
        <v>248</v>
      </c>
      <c r="M32" s="136">
        <f t="shared" si="0"/>
        <v>0</v>
      </c>
    </row>
    <row r="33" spans="1:13" ht="14.25" x14ac:dyDescent="0.2">
      <c r="A33" s="119" t="s">
        <v>264</v>
      </c>
      <c r="C33" s="135" t="s">
        <v>269</v>
      </c>
      <c r="D33" s="135"/>
      <c r="E33" s="118">
        <v>8400</v>
      </c>
      <c r="F33" s="135"/>
      <c r="G33" s="135"/>
      <c r="H33" s="135"/>
      <c r="I33" s="118"/>
      <c r="J33" s="118"/>
      <c r="K33" s="123">
        <v>8</v>
      </c>
      <c r="L33" s="126" t="s">
        <v>248</v>
      </c>
      <c r="M33" s="136">
        <f t="shared" si="0"/>
        <v>0</v>
      </c>
    </row>
    <row r="34" spans="1:13" ht="14.25" x14ac:dyDescent="0.2">
      <c r="A34" s="119"/>
      <c r="C34" s="135" t="s">
        <v>488</v>
      </c>
      <c r="D34" s="135"/>
      <c r="E34" s="118"/>
      <c r="F34" s="135"/>
      <c r="G34" s="189">
        <v>7800</v>
      </c>
      <c r="H34" s="135"/>
      <c r="I34" s="118"/>
      <c r="J34" s="134"/>
      <c r="K34" s="127"/>
      <c r="L34" s="126"/>
    </row>
    <row r="35" spans="1:13" ht="14.25" x14ac:dyDescent="0.2">
      <c r="A35" s="132" t="s">
        <v>307</v>
      </c>
      <c r="C35" s="125" t="s">
        <v>308</v>
      </c>
      <c r="D35" s="118">
        <v>6500</v>
      </c>
      <c r="E35" s="118"/>
      <c r="F35" s="125">
        <v>3250</v>
      </c>
      <c r="G35" s="125"/>
      <c r="H35" s="125"/>
      <c r="I35" s="118"/>
      <c r="J35" s="134"/>
      <c r="K35" s="127">
        <v>1</v>
      </c>
      <c r="L35" s="126" t="s">
        <v>290</v>
      </c>
      <c r="M35" s="136">
        <f t="shared" si="0"/>
        <v>0</v>
      </c>
    </row>
    <row r="36" spans="1:13" ht="28.5" x14ac:dyDescent="0.2">
      <c r="A36" s="149"/>
      <c r="B36" s="149"/>
      <c r="C36" s="149" t="s">
        <v>375</v>
      </c>
      <c r="D36" s="180" t="s">
        <v>455</v>
      </c>
      <c r="E36" s="180" t="s">
        <v>376</v>
      </c>
      <c r="F36" s="133"/>
      <c r="G36" s="133"/>
      <c r="H36" s="133"/>
      <c r="I36" s="177"/>
      <c r="J36" s="177"/>
      <c r="K36" s="149"/>
      <c r="L36" s="149"/>
      <c r="M36" s="136" t="e">
        <f t="shared" si="0"/>
        <v>#DIV/0!</v>
      </c>
    </row>
    <row r="37" spans="1:13" ht="14.25" x14ac:dyDescent="0.2">
      <c r="A37" s="119" t="s">
        <v>245</v>
      </c>
      <c r="C37" s="125" t="s">
        <v>257</v>
      </c>
      <c r="D37" s="118">
        <v>20500</v>
      </c>
      <c r="E37" s="118">
        <v>19399</v>
      </c>
      <c r="F37" s="125"/>
      <c r="G37" s="125"/>
      <c r="H37" s="125"/>
      <c r="I37" s="118"/>
      <c r="J37" s="118"/>
      <c r="K37" s="123">
        <v>1000</v>
      </c>
      <c r="L37" t="s">
        <v>247</v>
      </c>
      <c r="M37" s="136">
        <f t="shared" ref="M37:M56" si="2">I37/K37</f>
        <v>0</v>
      </c>
    </row>
    <row r="38" spans="1:13" ht="14.25" x14ac:dyDescent="0.2">
      <c r="A38" s="119" t="s">
        <v>245</v>
      </c>
      <c r="C38" s="125" t="s">
        <v>258</v>
      </c>
      <c r="D38" s="118">
        <v>69900</v>
      </c>
      <c r="E38" s="150">
        <v>79900</v>
      </c>
      <c r="F38" s="125"/>
      <c r="G38" s="125"/>
      <c r="H38" s="125"/>
      <c r="I38" s="118"/>
      <c r="J38" s="150"/>
      <c r="K38" s="123">
        <v>700</v>
      </c>
      <c r="L38" t="s">
        <v>247</v>
      </c>
      <c r="M38" s="136">
        <f t="shared" si="2"/>
        <v>0</v>
      </c>
    </row>
    <row r="39" spans="1:13" ht="14.25" x14ac:dyDescent="0.2">
      <c r="A39" s="119" t="s">
        <v>245</v>
      </c>
      <c r="C39" s="125" t="s">
        <v>259</v>
      </c>
      <c r="D39" s="118">
        <v>73400</v>
      </c>
      <c r="E39" s="118"/>
      <c r="F39" s="125"/>
      <c r="G39" s="125"/>
      <c r="H39" s="125"/>
      <c r="I39" s="118"/>
      <c r="J39" s="118"/>
      <c r="K39" s="123">
        <v>700</v>
      </c>
      <c r="L39" t="s">
        <v>247</v>
      </c>
      <c r="M39" s="136">
        <f t="shared" si="2"/>
        <v>0</v>
      </c>
    </row>
    <row r="40" spans="1:13" ht="14.25" x14ac:dyDescent="0.2">
      <c r="A40" s="119"/>
      <c r="C40" s="125" t="s">
        <v>469</v>
      </c>
      <c r="D40" s="118"/>
      <c r="E40" s="118">
        <v>77000</v>
      </c>
      <c r="F40" s="125"/>
      <c r="G40" s="125"/>
      <c r="H40" s="125"/>
      <c r="I40" s="118"/>
      <c r="J40" s="118"/>
      <c r="K40" s="123"/>
    </row>
    <row r="41" spans="1:13" ht="14.25" x14ac:dyDescent="0.2">
      <c r="A41" s="119" t="s">
        <v>245</v>
      </c>
      <c r="C41" s="125" t="s">
        <v>260</v>
      </c>
      <c r="D41" s="118">
        <v>63800</v>
      </c>
      <c r="E41" s="118"/>
      <c r="F41" s="125"/>
      <c r="G41" s="125"/>
      <c r="H41" s="125"/>
      <c r="I41" s="118"/>
      <c r="J41" s="118"/>
      <c r="K41" s="123">
        <v>750</v>
      </c>
      <c r="L41" t="s">
        <v>247</v>
      </c>
      <c r="M41" s="136">
        <f t="shared" si="2"/>
        <v>0</v>
      </c>
    </row>
    <row r="42" spans="1:13" ht="14.25" x14ac:dyDescent="0.2">
      <c r="A42" s="119" t="s">
        <v>245</v>
      </c>
      <c r="C42" s="125" t="s">
        <v>261</v>
      </c>
      <c r="D42" s="118">
        <v>39500</v>
      </c>
      <c r="E42" s="118">
        <v>39100</v>
      </c>
      <c r="F42" s="125"/>
      <c r="G42" s="125"/>
      <c r="H42" s="125"/>
      <c r="I42" s="118"/>
      <c r="J42" s="118"/>
      <c r="K42" s="123">
        <v>750</v>
      </c>
      <c r="L42" t="s">
        <v>247</v>
      </c>
      <c r="M42" s="136">
        <f t="shared" si="2"/>
        <v>0</v>
      </c>
    </row>
    <row r="43" spans="1:13" ht="14.25" x14ac:dyDescent="0.2">
      <c r="A43" s="119"/>
      <c r="C43" s="125" t="s">
        <v>470</v>
      </c>
      <c r="D43" s="118"/>
      <c r="E43" s="118">
        <v>21050</v>
      </c>
      <c r="F43" s="125"/>
      <c r="G43" s="125"/>
      <c r="H43" s="125"/>
      <c r="I43" s="118"/>
      <c r="J43" s="118"/>
      <c r="K43" s="123"/>
    </row>
    <row r="44" spans="1:13" ht="14.25" x14ac:dyDescent="0.2">
      <c r="A44" s="119" t="s">
        <v>245</v>
      </c>
      <c r="C44" s="125" t="s">
        <v>262</v>
      </c>
      <c r="D44" s="118">
        <v>44500</v>
      </c>
      <c r="E44" s="118">
        <v>42000</v>
      </c>
      <c r="F44" s="125"/>
      <c r="G44" s="125"/>
      <c r="H44" s="125"/>
      <c r="I44" s="118"/>
      <c r="J44" s="118"/>
      <c r="K44" s="123">
        <v>700</v>
      </c>
      <c r="L44" t="s">
        <v>247</v>
      </c>
      <c r="M44" s="136">
        <f t="shared" si="2"/>
        <v>0</v>
      </c>
    </row>
    <row r="45" spans="1:13" ht="14.25" x14ac:dyDescent="0.2">
      <c r="A45" s="119" t="s">
        <v>245</v>
      </c>
      <c r="C45" s="125" t="s">
        <v>263</v>
      </c>
      <c r="D45" s="118">
        <v>49600</v>
      </c>
      <c r="E45" s="118"/>
      <c r="F45" s="125"/>
      <c r="G45" s="125"/>
      <c r="H45" s="125"/>
      <c r="I45" s="118"/>
      <c r="J45" s="118"/>
      <c r="K45" s="123">
        <v>750</v>
      </c>
      <c r="L45" t="s">
        <v>247</v>
      </c>
      <c r="M45" s="136">
        <f t="shared" si="2"/>
        <v>0</v>
      </c>
    </row>
    <row r="46" spans="1:13" ht="14.25" x14ac:dyDescent="0.2">
      <c r="A46" s="119"/>
      <c r="C46" s="125" t="s">
        <v>471</v>
      </c>
      <c r="D46" s="118"/>
      <c r="E46" s="118">
        <v>19799</v>
      </c>
      <c r="F46" s="125"/>
      <c r="G46" s="125"/>
      <c r="H46" s="125"/>
      <c r="I46" s="118"/>
      <c r="J46" s="118"/>
      <c r="K46" s="123"/>
    </row>
    <row r="47" spans="1:13" ht="14.25" x14ac:dyDescent="0.2">
      <c r="A47" s="119" t="s">
        <v>245</v>
      </c>
      <c r="C47" s="120" t="s">
        <v>246</v>
      </c>
      <c r="D47" s="118">
        <v>3787.5</v>
      </c>
      <c r="E47" s="118">
        <v>3333.29</v>
      </c>
      <c r="F47" s="120"/>
      <c r="G47" s="120"/>
      <c r="H47" s="120"/>
      <c r="I47" s="118"/>
      <c r="J47" s="118"/>
      <c r="K47" s="123">
        <v>1</v>
      </c>
      <c r="L47" t="s">
        <v>248</v>
      </c>
      <c r="M47" s="136">
        <f t="shared" si="2"/>
        <v>0</v>
      </c>
    </row>
    <row r="48" spans="1:13" ht="14.25" x14ac:dyDescent="0.2">
      <c r="A48" s="119" t="s">
        <v>245</v>
      </c>
      <c r="C48" s="125" t="s">
        <v>251</v>
      </c>
      <c r="D48" s="118">
        <v>2500</v>
      </c>
      <c r="E48" s="118"/>
      <c r="F48" s="125"/>
      <c r="G48" s="125"/>
      <c r="H48" s="125"/>
      <c r="I48" s="118"/>
      <c r="J48" s="118"/>
      <c r="K48" s="123">
        <v>1</v>
      </c>
      <c r="L48" t="s">
        <v>248</v>
      </c>
      <c r="M48" s="136">
        <f t="shared" si="2"/>
        <v>0</v>
      </c>
    </row>
    <row r="49" spans="1:13" ht="14.25" x14ac:dyDescent="0.2">
      <c r="A49" s="119" t="s">
        <v>245</v>
      </c>
      <c r="C49" s="125" t="s">
        <v>252</v>
      </c>
      <c r="D49" s="118">
        <v>3750</v>
      </c>
      <c r="E49" s="118"/>
      <c r="F49" s="125"/>
      <c r="G49" s="125"/>
      <c r="H49" s="125"/>
      <c r="I49" s="118"/>
      <c r="J49" s="118"/>
      <c r="K49" s="123">
        <v>1</v>
      </c>
      <c r="L49" t="s">
        <v>248</v>
      </c>
      <c r="M49" s="136">
        <f t="shared" si="2"/>
        <v>0</v>
      </c>
    </row>
    <row r="50" spans="1:13" ht="14.25" x14ac:dyDescent="0.2">
      <c r="A50" s="119" t="s">
        <v>245</v>
      </c>
      <c r="C50" s="125" t="s">
        <v>253</v>
      </c>
      <c r="D50" s="118">
        <v>4300</v>
      </c>
      <c r="E50" s="118"/>
      <c r="F50" s="125"/>
      <c r="G50" s="125"/>
      <c r="H50" s="125"/>
      <c r="I50" s="118"/>
      <c r="J50" s="118"/>
      <c r="K50" s="123">
        <v>1</v>
      </c>
      <c r="L50" s="126" t="s">
        <v>248</v>
      </c>
      <c r="M50" s="136">
        <f t="shared" si="2"/>
        <v>0</v>
      </c>
    </row>
    <row r="51" spans="1:13" ht="14.25" x14ac:dyDescent="0.2">
      <c r="A51" s="119" t="s">
        <v>245</v>
      </c>
      <c r="C51" s="125" t="s">
        <v>254</v>
      </c>
      <c r="D51" s="118">
        <v>2120.83</v>
      </c>
      <c r="E51" s="118">
        <v>2300</v>
      </c>
      <c r="F51" s="125"/>
      <c r="G51" s="125"/>
      <c r="H51" s="125"/>
      <c r="I51" s="118"/>
      <c r="J51" s="118"/>
      <c r="K51" s="123">
        <v>1</v>
      </c>
      <c r="L51" s="126" t="s">
        <v>248</v>
      </c>
      <c r="M51" s="136">
        <f t="shared" si="2"/>
        <v>0</v>
      </c>
    </row>
    <row r="52" spans="1:13" ht="14.25" x14ac:dyDescent="0.2">
      <c r="A52" s="119" t="s">
        <v>245</v>
      </c>
      <c r="C52" s="125" t="s">
        <v>255</v>
      </c>
      <c r="D52" s="118">
        <v>2120</v>
      </c>
      <c r="E52" s="118"/>
      <c r="F52" s="125"/>
      <c r="G52" s="125"/>
      <c r="H52" s="125"/>
      <c r="I52" s="118"/>
      <c r="J52" s="118"/>
      <c r="K52" s="123">
        <v>1</v>
      </c>
      <c r="L52" s="126" t="s">
        <v>248</v>
      </c>
      <c r="M52" s="136">
        <f t="shared" si="2"/>
        <v>0</v>
      </c>
    </row>
    <row r="53" spans="1:13" ht="14.25" x14ac:dyDescent="0.2">
      <c r="A53" s="119"/>
      <c r="C53" s="125" t="s">
        <v>472</v>
      </c>
      <c r="D53" s="118"/>
      <c r="E53" s="118">
        <v>800</v>
      </c>
      <c r="F53" s="125"/>
      <c r="G53" s="125"/>
      <c r="H53" s="125"/>
      <c r="I53" s="118"/>
      <c r="J53" s="118"/>
      <c r="K53" s="123"/>
      <c r="L53" s="126"/>
    </row>
    <row r="54" spans="1:13" ht="14.25" x14ac:dyDescent="0.2">
      <c r="A54" s="119" t="s">
        <v>245</v>
      </c>
      <c r="C54" s="125" t="s">
        <v>256</v>
      </c>
      <c r="D54" s="118">
        <v>1333.33</v>
      </c>
      <c r="E54" s="118"/>
      <c r="F54" s="125"/>
      <c r="G54" s="125"/>
      <c r="H54" s="125"/>
      <c r="I54" s="118"/>
      <c r="J54" s="118"/>
      <c r="K54" s="123">
        <v>1</v>
      </c>
      <c r="L54" s="126" t="s">
        <v>248</v>
      </c>
      <c r="M54" s="136">
        <f t="shared" si="2"/>
        <v>0</v>
      </c>
    </row>
    <row r="55" spans="1:13" ht="14.25" x14ac:dyDescent="0.2">
      <c r="A55" s="119"/>
      <c r="C55" s="125" t="s">
        <v>456</v>
      </c>
      <c r="D55" s="118">
        <v>118000</v>
      </c>
      <c r="E55" s="118">
        <v>105000</v>
      </c>
      <c r="F55" s="125"/>
      <c r="G55" s="125"/>
      <c r="H55" s="125"/>
      <c r="I55" s="118"/>
      <c r="J55" s="118"/>
      <c r="K55" s="123"/>
      <c r="L55" s="126"/>
    </row>
    <row r="56" spans="1:13" ht="14.25" x14ac:dyDescent="0.2">
      <c r="A56" s="129" t="s">
        <v>285</v>
      </c>
      <c r="C56" s="125" t="s">
        <v>286</v>
      </c>
      <c r="D56" s="118">
        <v>10000</v>
      </c>
      <c r="E56" s="118"/>
      <c r="F56" s="125"/>
      <c r="G56" s="125"/>
      <c r="H56" s="125"/>
      <c r="I56" s="118"/>
      <c r="J56" s="118"/>
      <c r="K56" s="123">
        <v>1000</v>
      </c>
      <c r="L56" s="126" t="s">
        <v>247</v>
      </c>
      <c r="M56" s="136">
        <f t="shared" si="2"/>
        <v>0</v>
      </c>
    </row>
    <row r="57" spans="1:13" ht="14.25" x14ac:dyDescent="0.2">
      <c r="A57" s="148"/>
      <c r="C57" s="125" t="s">
        <v>377</v>
      </c>
      <c r="D57" s="118"/>
      <c r="E57" s="118">
        <v>22100</v>
      </c>
      <c r="F57" s="125"/>
      <c r="G57" s="125"/>
      <c r="H57" s="125"/>
      <c r="I57" s="118"/>
      <c r="J57" s="118"/>
      <c r="K57" s="123">
        <v>1100</v>
      </c>
      <c r="L57" s="126"/>
      <c r="M57" s="136">
        <f t="shared" ref="M57:M59" si="3">I57/K57</f>
        <v>0</v>
      </c>
    </row>
    <row r="58" spans="1:13" ht="14.25" x14ac:dyDescent="0.2">
      <c r="A58" s="129"/>
      <c r="C58" s="125" t="s">
        <v>378</v>
      </c>
      <c r="D58" s="118"/>
      <c r="E58" s="118">
        <v>22100</v>
      </c>
      <c r="F58" s="125"/>
      <c r="G58" s="125"/>
      <c r="H58" s="125"/>
      <c r="I58" s="118"/>
      <c r="J58" s="118"/>
      <c r="K58" s="123">
        <v>1100</v>
      </c>
      <c r="L58" s="126" t="s">
        <v>247</v>
      </c>
      <c r="M58" s="136">
        <f t="shared" si="3"/>
        <v>0</v>
      </c>
    </row>
    <row r="59" spans="1:13" ht="14.25" x14ac:dyDescent="0.2">
      <c r="A59" s="129"/>
      <c r="C59" s="125" t="s">
        <v>379</v>
      </c>
      <c r="D59" s="118"/>
      <c r="E59" s="118">
        <v>31750</v>
      </c>
      <c r="F59" s="125"/>
      <c r="G59" s="125"/>
      <c r="H59" s="125"/>
      <c r="I59" s="118"/>
      <c r="J59" s="118"/>
      <c r="K59" s="123">
        <v>750</v>
      </c>
      <c r="L59" s="126" t="s">
        <v>247</v>
      </c>
      <c r="M59" s="136">
        <f t="shared" si="3"/>
        <v>0</v>
      </c>
    </row>
    <row r="60" spans="1:13" ht="14.25" x14ac:dyDescent="0.2">
      <c r="A60" s="129"/>
      <c r="C60" s="125" t="s">
        <v>380</v>
      </c>
      <c r="D60" s="118"/>
      <c r="E60" s="118">
        <v>13400</v>
      </c>
      <c r="F60" s="125"/>
      <c r="G60" s="125"/>
      <c r="H60" s="125"/>
      <c r="I60" s="118"/>
      <c r="J60" s="118"/>
      <c r="K60" s="123">
        <v>567</v>
      </c>
      <c r="L60" s="126" t="s">
        <v>247</v>
      </c>
      <c r="M60" s="136">
        <f t="shared" ref="M60:M62" si="4">I60/K60</f>
        <v>0</v>
      </c>
    </row>
    <row r="61" spans="1:13" ht="14.25" x14ac:dyDescent="0.2">
      <c r="A61" s="129"/>
      <c r="C61" s="125" t="s">
        <v>381</v>
      </c>
      <c r="D61" s="118"/>
      <c r="E61" s="118">
        <v>19500</v>
      </c>
      <c r="F61" s="125"/>
      <c r="G61" s="125"/>
      <c r="H61" s="125"/>
      <c r="I61" s="118"/>
      <c r="J61" s="118"/>
      <c r="K61" s="123">
        <v>1000</v>
      </c>
      <c r="L61" s="126" t="s">
        <v>247</v>
      </c>
      <c r="M61" s="136">
        <f t="shared" si="4"/>
        <v>0</v>
      </c>
    </row>
    <row r="62" spans="1:13" ht="14.25" x14ac:dyDescent="0.2">
      <c r="A62" s="129"/>
      <c r="C62" s="125" t="s">
        <v>382</v>
      </c>
      <c r="D62" s="118"/>
      <c r="E62" s="118">
        <v>3300</v>
      </c>
      <c r="F62" s="125"/>
      <c r="G62" s="125"/>
      <c r="H62" s="125"/>
      <c r="I62" s="118"/>
      <c r="J62" s="118"/>
      <c r="K62" s="123">
        <v>500</v>
      </c>
      <c r="L62" s="126" t="s">
        <v>247</v>
      </c>
      <c r="M62" s="136">
        <f t="shared" si="4"/>
        <v>0</v>
      </c>
    </row>
    <row r="63" spans="1:13" ht="14.25" x14ac:dyDescent="0.2">
      <c r="A63" s="129"/>
      <c r="C63" s="125" t="s">
        <v>383</v>
      </c>
      <c r="D63" s="118"/>
      <c r="E63" s="118">
        <v>2350</v>
      </c>
      <c r="F63" s="125"/>
      <c r="G63" s="125"/>
      <c r="H63" s="125"/>
      <c r="I63" s="118"/>
      <c r="J63" s="118"/>
      <c r="K63" s="123">
        <v>1</v>
      </c>
      <c r="L63" s="126" t="s">
        <v>248</v>
      </c>
      <c r="M63" s="136">
        <f t="shared" ref="M63:M69" si="5">I63/K63</f>
        <v>0</v>
      </c>
    </row>
    <row r="64" spans="1:13" ht="14.25" x14ac:dyDescent="0.2">
      <c r="A64" s="129"/>
      <c r="C64" s="125" t="s">
        <v>384</v>
      </c>
      <c r="D64" s="118"/>
      <c r="E64" s="118">
        <v>94900</v>
      </c>
      <c r="F64" s="125"/>
      <c r="G64" s="125"/>
      <c r="H64" s="125"/>
      <c r="I64" s="118"/>
      <c r="J64" s="118"/>
      <c r="K64" s="123">
        <v>700</v>
      </c>
      <c r="L64" s="126" t="s">
        <v>247</v>
      </c>
      <c r="M64" s="136">
        <f t="shared" si="5"/>
        <v>0</v>
      </c>
    </row>
    <row r="65" spans="1:13" ht="14.25" x14ac:dyDescent="0.2">
      <c r="A65" s="129"/>
      <c r="C65" s="125" t="s">
        <v>385</v>
      </c>
      <c r="D65" s="118"/>
      <c r="E65" s="118">
        <v>66600</v>
      </c>
      <c r="F65" s="125"/>
      <c r="G65" s="125"/>
      <c r="H65" s="125"/>
      <c r="I65" s="118"/>
      <c r="J65" s="118"/>
      <c r="K65" s="123">
        <v>700</v>
      </c>
      <c r="L65" s="126" t="s">
        <v>247</v>
      </c>
      <c r="M65" s="136">
        <f t="shared" si="5"/>
        <v>0</v>
      </c>
    </row>
    <row r="66" spans="1:13" ht="14.25" x14ac:dyDescent="0.2">
      <c r="A66" s="129"/>
      <c r="C66" s="125" t="s">
        <v>386</v>
      </c>
      <c r="D66" s="118"/>
      <c r="E66" s="118">
        <v>3250</v>
      </c>
      <c r="F66" s="125"/>
      <c r="G66" s="125"/>
      <c r="H66" s="125"/>
      <c r="I66" s="118"/>
      <c r="J66" s="118"/>
      <c r="K66" s="123">
        <v>330</v>
      </c>
      <c r="L66" s="126" t="s">
        <v>247</v>
      </c>
      <c r="M66" s="136">
        <f t="shared" si="5"/>
        <v>0</v>
      </c>
    </row>
    <row r="67" spans="1:13" ht="14.25" x14ac:dyDescent="0.2">
      <c r="A67" s="129"/>
      <c r="C67" s="125"/>
      <c r="D67" s="125"/>
      <c r="E67" s="125"/>
      <c r="F67" s="125"/>
      <c r="G67" s="125"/>
      <c r="H67" s="125"/>
      <c r="I67" s="118"/>
      <c r="J67" s="118"/>
      <c r="K67" s="123"/>
      <c r="L67" s="126" t="s">
        <v>247</v>
      </c>
      <c r="M67" s="136" t="e">
        <f t="shared" si="5"/>
        <v>#DIV/0!</v>
      </c>
    </row>
    <row r="68" spans="1:13" ht="14.25" x14ac:dyDescent="0.2">
      <c r="A68" s="129"/>
      <c r="C68" s="125"/>
      <c r="D68" s="125"/>
      <c r="E68" s="125"/>
      <c r="F68" s="125"/>
      <c r="G68" s="125"/>
      <c r="H68" s="125"/>
      <c r="I68" s="118"/>
      <c r="J68" s="118"/>
      <c r="K68" s="123"/>
      <c r="L68" s="126" t="s">
        <v>247</v>
      </c>
      <c r="M68" s="136" t="e">
        <f t="shared" si="5"/>
        <v>#DIV/0!</v>
      </c>
    </row>
    <row r="69" spans="1:13" ht="14.25" x14ac:dyDescent="0.2">
      <c r="A69" s="129"/>
      <c r="C69" s="125"/>
      <c r="D69" s="125"/>
      <c r="E69" s="125"/>
      <c r="F69" s="125"/>
      <c r="G69" s="125"/>
      <c r="H69" s="125"/>
      <c r="I69" s="118"/>
      <c r="J69" s="118"/>
      <c r="K69" s="123"/>
      <c r="L69" s="126" t="s">
        <v>247</v>
      </c>
      <c r="M69" s="136" t="e">
        <f t="shared" si="5"/>
        <v>#DIV/0!</v>
      </c>
    </row>
    <row r="70" spans="1:13" ht="14.25" x14ac:dyDescent="0.2">
      <c r="A70" s="129"/>
      <c r="C70" s="125"/>
      <c r="D70" s="125"/>
      <c r="E70" s="125"/>
      <c r="F70" s="125"/>
      <c r="G70" s="125"/>
      <c r="H70" s="125"/>
      <c r="I70" s="118"/>
      <c r="J70" s="118"/>
      <c r="K70" s="123"/>
    </row>
    <row r="71" spans="1:13" ht="14.25" x14ac:dyDescent="0.2">
      <c r="C71" s="125"/>
      <c r="D71" s="128"/>
      <c r="E71" s="128"/>
      <c r="F71" s="128"/>
      <c r="G71" s="128"/>
      <c r="H71" s="128"/>
      <c r="K71" s="123"/>
    </row>
    <row r="72" spans="1:13" ht="14.25" x14ac:dyDescent="0.2">
      <c r="A72" s="362" t="s">
        <v>299</v>
      </c>
      <c r="B72" s="362"/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136" t="e">
        <f t="shared" si="0"/>
        <v>#DIV/0!</v>
      </c>
    </row>
    <row r="73" spans="1:13" ht="14.25" x14ac:dyDescent="0.2">
      <c r="A73" s="132" t="s">
        <v>300</v>
      </c>
      <c r="C73" s="125" t="s">
        <v>301</v>
      </c>
      <c r="D73" s="125"/>
      <c r="E73" s="125"/>
      <c r="F73" s="125"/>
      <c r="G73" s="125"/>
      <c r="H73" s="125"/>
      <c r="I73" s="118">
        <v>60000</v>
      </c>
      <c r="J73" s="118"/>
      <c r="K73" s="123">
        <v>8</v>
      </c>
      <c r="L73" s="126" t="s">
        <v>249</v>
      </c>
      <c r="M73" s="136">
        <f t="shared" si="0"/>
        <v>7500</v>
      </c>
    </row>
    <row r="74" spans="1:13" ht="14.25" x14ac:dyDescent="0.2">
      <c r="A74" s="132" t="s">
        <v>300</v>
      </c>
      <c r="C74" s="125" t="s">
        <v>302</v>
      </c>
      <c r="D74" s="125"/>
      <c r="E74" s="125"/>
      <c r="F74" s="125"/>
      <c r="G74" s="125"/>
      <c r="H74" s="125"/>
      <c r="I74" s="118">
        <v>72000</v>
      </c>
      <c r="J74" s="118"/>
      <c r="K74" s="123">
        <v>8</v>
      </c>
      <c r="L74" s="126" t="s">
        <v>249</v>
      </c>
      <c r="M74" s="136">
        <f t="shared" si="0"/>
        <v>9000</v>
      </c>
    </row>
    <row r="75" spans="1:13" ht="14.25" x14ac:dyDescent="0.2">
      <c r="A75" s="132" t="s">
        <v>300</v>
      </c>
      <c r="C75" s="125" t="s">
        <v>303</v>
      </c>
      <c r="D75" s="125"/>
      <c r="E75" s="125"/>
      <c r="F75" s="125"/>
      <c r="G75" s="125"/>
      <c r="H75" s="125"/>
      <c r="I75" s="118">
        <v>20000</v>
      </c>
      <c r="J75" s="118"/>
      <c r="K75" s="123">
        <v>50</v>
      </c>
      <c r="L75" s="126" t="s">
        <v>249</v>
      </c>
      <c r="M75" s="136">
        <f t="shared" si="0"/>
        <v>400</v>
      </c>
    </row>
    <row r="76" spans="1:13" ht="14.25" x14ac:dyDescent="0.2">
      <c r="A76" s="132" t="s">
        <v>300</v>
      </c>
      <c r="C76" s="128" t="s">
        <v>348</v>
      </c>
      <c r="D76" s="128"/>
      <c r="E76" s="128"/>
      <c r="F76" s="128"/>
      <c r="G76" s="128"/>
      <c r="H76" s="128"/>
      <c r="I76" s="118">
        <v>20000</v>
      </c>
      <c r="J76" s="118"/>
      <c r="K76" s="123">
        <v>50</v>
      </c>
      <c r="L76" s="126" t="s">
        <v>249</v>
      </c>
      <c r="M76" s="136">
        <f t="shared" si="0"/>
        <v>400</v>
      </c>
    </row>
    <row r="77" spans="1:13" ht="14.25" x14ac:dyDescent="0.2">
      <c r="A77" s="132" t="s">
        <v>300</v>
      </c>
      <c r="C77" s="128" t="s">
        <v>349</v>
      </c>
      <c r="D77" s="128"/>
      <c r="E77" s="128"/>
      <c r="F77" s="128"/>
      <c r="G77" s="128"/>
      <c r="H77" s="128"/>
      <c r="I77" s="117">
        <v>20000</v>
      </c>
      <c r="J77" s="117"/>
      <c r="K77" s="131">
        <v>50</v>
      </c>
      <c r="L77" s="126" t="s">
        <v>249</v>
      </c>
      <c r="M77" s="136">
        <f t="shared" ref="M77" si="6">I77/K77</f>
        <v>400</v>
      </c>
    </row>
    <row r="78" spans="1:13" ht="14.25" x14ac:dyDescent="0.2">
      <c r="A78" s="129"/>
      <c r="C78" s="128"/>
      <c r="D78" s="128"/>
      <c r="E78" s="128"/>
      <c r="F78" s="128"/>
      <c r="G78" s="128"/>
      <c r="H78" s="128"/>
      <c r="I78" s="117"/>
      <c r="J78" s="117"/>
      <c r="K78" s="131"/>
      <c r="L78" s="126"/>
    </row>
    <row r="79" spans="1:13" ht="28.5" x14ac:dyDescent="0.2">
      <c r="A79" s="149"/>
      <c r="B79" s="149"/>
      <c r="C79" s="149" t="s">
        <v>272</v>
      </c>
      <c r="D79" s="180" t="s">
        <v>273</v>
      </c>
      <c r="E79" s="181" t="s">
        <v>543</v>
      </c>
      <c r="F79" s="149"/>
      <c r="G79" s="149"/>
      <c r="H79" s="149"/>
      <c r="I79" s="149"/>
      <c r="J79" s="149"/>
      <c r="K79" s="149"/>
      <c r="L79" s="149"/>
    </row>
    <row r="80" spans="1:13" ht="14.25" x14ac:dyDescent="0.2">
      <c r="A80" s="129" t="s">
        <v>273</v>
      </c>
      <c r="C80" s="125" t="s">
        <v>274</v>
      </c>
      <c r="D80" s="118">
        <v>10400</v>
      </c>
      <c r="E80" s="125"/>
      <c r="F80" s="125"/>
      <c r="G80" s="125"/>
      <c r="H80" s="125"/>
      <c r="I80" s="118"/>
      <c r="J80" s="118"/>
      <c r="K80" s="123">
        <v>1000</v>
      </c>
      <c r="L80" s="126" t="s">
        <v>249</v>
      </c>
      <c r="M80" s="136">
        <f t="shared" ref="M80:M144" si="7">I80/K80</f>
        <v>0</v>
      </c>
    </row>
    <row r="81" spans="1:13" ht="14.25" x14ac:dyDescent="0.2">
      <c r="A81" s="129" t="s">
        <v>273</v>
      </c>
      <c r="C81" s="125" t="s">
        <v>275</v>
      </c>
      <c r="D81" s="118">
        <v>950</v>
      </c>
      <c r="E81" s="125"/>
      <c r="F81" s="125"/>
      <c r="G81" s="125"/>
      <c r="H81" s="125"/>
      <c r="I81" s="118"/>
      <c r="J81" s="118"/>
      <c r="K81" s="123">
        <v>1</v>
      </c>
      <c r="L81" s="126" t="s">
        <v>248</v>
      </c>
      <c r="M81" s="136">
        <f t="shared" si="7"/>
        <v>0</v>
      </c>
    </row>
    <row r="82" spans="1:13" ht="14.25" x14ac:dyDescent="0.2">
      <c r="A82" s="129" t="s">
        <v>273</v>
      </c>
      <c r="C82" s="281" t="s">
        <v>276</v>
      </c>
      <c r="D82" s="118">
        <v>3900</v>
      </c>
      <c r="E82" s="184">
        <v>1980</v>
      </c>
      <c r="F82" s="125"/>
      <c r="G82" s="125"/>
      <c r="H82" s="125"/>
      <c r="I82" s="118"/>
      <c r="J82" s="118"/>
      <c r="K82" s="123">
        <v>1000</v>
      </c>
      <c r="L82" s="126" t="s">
        <v>249</v>
      </c>
      <c r="M82" s="282">
        <f>E82/K82</f>
        <v>1.98</v>
      </c>
    </row>
    <row r="83" spans="1:13" ht="14.25" x14ac:dyDescent="0.2">
      <c r="A83" s="129" t="s">
        <v>273</v>
      </c>
      <c r="C83" s="125" t="s">
        <v>277</v>
      </c>
      <c r="D83" s="118">
        <v>7750</v>
      </c>
      <c r="E83" s="125"/>
      <c r="F83" s="125"/>
      <c r="G83" s="125"/>
      <c r="H83" s="125"/>
      <c r="I83" s="118"/>
      <c r="J83" s="118"/>
      <c r="K83" s="123">
        <v>500</v>
      </c>
      <c r="L83" s="126" t="s">
        <v>249</v>
      </c>
      <c r="M83" s="136">
        <f t="shared" si="7"/>
        <v>0</v>
      </c>
    </row>
    <row r="84" spans="1:13" ht="14.25" x14ac:dyDescent="0.2">
      <c r="A84" s="129" t="s">
        <v>273</v>
      </c>
      <c r="C84" s="125" t="s">
        <v>284</v>
      </c>
      <c r="D84" s="118">
        <v>3550</v>
      </c>
      <c r="E84" s="125"/>
      <c r="F84" s="125"/>
      <c r="G84" s="125"/>
      <c r="H84" s="125"/>
      <c r="I84" s="118"/>
      <c r="J84" s="118"/>
      <c r="K84" s="123">
        <v>400</v>
      </c>
      <c r="L84" s="126" t="s">
        <v>249</v>
      </c>
      <c r="M84" s="136">
        <f t="shared" si="7"/>
        <v>0</v>
      </c>
    </row>
    <row r="85" spans="1:13" ht="14.25" x14ac:dyDescent="0.2">
      <c r="A85" s="129" t="s">
        <v>273</v>
      </c>
      <c r="C85" s="125" t="s">
        <v>294</v>
      </c>
      <c r="D85" s="118">
        <v>7850</v>
      </c>
      <c r="E85" s="125"/>
      <c r="F85" s="125"/>
      <c r="G85" s="125"/>
      <c r="H85" s="125"/>
      <c r="I85" s="118"/>
      <c r="J85" s="118"/>
      <c r="K85" s="123">
        <v>3000</v>
      </c>
      <c r="L85" s="126" t="s">
        <v>290</v>
      </c>
      <c r="M85" s="136">
        <f t="shared" si="7"/>
        <v>0</v>
      </c>
    </row>
    <row r="86" spans="1:13" ht="14.25" x14ac:dyDescent="0.2">
      <c r="A86" s="129" t="s">
        <v>273</v>
      </c>
      <c r="C86" s="120" t="s">
        <v>295</v>
      </c>
      <c r="D86" s="118">
        <v>2750</v>
      </c>
      <c r="E86" s="120"/>
      <c r="F86" s="120"/>
      <c r="G86" s="120"/>
      <c r="H86" s="120"/>
      <c r="I86" s="118"/>
      <c r="J86" s="118"/>
      <c r="K86" s="123">
        <v>160</v>
      </c>
      <c r="L86" s="126" t="s">
        <v>249</v>
      </c>
      <c r="M86" s="136">
        <f t="shared" si="7"/>
        <v>0</v>
      </c>
    </row>
    <row r="87" spans="1:13" ht="14.25" x14ac:dyDescent="0.2">
      <c r="A87" s="129" t="s">
        <v>273</v>
      </c>
      <c r="C87" s="281" t="s">
        <v>573</v>
      </c>
      <c r="D87" s="118">
        <v>13600</v>
      </c>
      <c r="E87" s="183">
        <v>4890</v>
      </c>
      <c r="F87" s="120"/>
      <c r="G87" s="120"/>
      <c r="H87" s="120"/>
      <c r="I87" s="118"/>
      <c r="J87" s="118"/>
      <c r="K87" s="123">
        <v>250</v>
      </c>
      <c r="L87" s="126" t="s">
        <v>249</v>
      </c>
      <c r="M87" s="136">
        <f>E87/K87</f>
        <v>19.559999999999999</v>
      </c>
    </row>
    <row r="88" spans="1:13" ht="14.25" x14ac:dyDescent="0.2">
      <c r="A88" s="129" t="s">
        <v>273</v>
      </c>
      <c r="C88" s="125" t="s">
        <v>321</v>
      </c>
      <c r="D88" s="118">
        <v>4850</v>
      </c>
      <c r="E88" s="184">
        <v>4980</v>
      </c>
      <c r="F88" s="125"/>
      <c r="G88" s="125"/>
      <c r="H88" s="125"/>
      <c r="I88" s="118"/>
      <c r="J88" s="118"/>
      <c r="K88" s="123">
        <v>150</v>
      </c>
      <c r="L88" s="126" t="s">
        <v>249</v>
      </c>
      <c r="M88" s="136">
        <f>E88/K88</f>
        <v>33.200000000000003</v>
      </c>
    </row>
    <row r="89" spans="1:13" ht="14.25" x14ac:dyDescent="0.2">
      <c r="A89" s="129" t="s">
        <v>273</v>
      </c>
      <c r="C89" s="125" t="s">
        <v>322</v>
      </c>
      <c r="D89" s="118">
        <v>1600</v>
      </c>
      <c r="E89" s="125"/>
      <c r="F89" s="125"/>
      <c r="G89" s="125"/>
      <c r="H89" s="125"/>
      <c r="I89" s="118"/>
      <c r="J89" s="118"/>
      <c r="K89" s="123">
        <v>50</v>
      </c>
      <c r="L89" s="126" t="s">
        <v>249</v>
      </c>
      <c r="M89" s="136">
        <f t="shared" si="7"/>
        <v>0</v>
      </c>
    </row>
    <row r="90" spans="1:13" ht="14.25" x14ac:dyDescent="0.2">
      <c r="A90" s="129" t="s">
        <v>273</v>
      </c>
      <c r="C90" s="125" t="s">
        <v>329</v>
      </c>
      <c r="D90" s="118">
        <v>3600</v>
      </c>
      <c r="E90" s="125"/>
      <c r="F90" s="125"/>
      <c r="G90" s="125"/>
      <c r="H90" s="125"/>
      <c r="I90" s="118"/>
      <c r="J90" s="118"/>
      <c r="K90" s="123">
        <v>1000</v>
      </c>
      <c r="L90" s="126" t="s">
        <v>249</v>
      </c>
      <c r="M90" s="136">
        <f t="shared" si="7"/>
        <v>0</v>
      </c>
    </row>
    <row r="91" spans="1:13" ht="14.25" x14ac:dyDescent="0.2">
      <c r="A91" s="129" t="s">
        <v>273</v>
      </c>
      <c r="C91" s="125" t="s">
        <v>330</v>
      </c>
      <c r="D91" s="118">
        <v>5600</v>
      </c>
      <c r="E91" s="125"/>
      <c r="F91" s="125"/>
      <c r="G91" s="125"/>
      <c r="H91" s="125"/>
      <c r="I91" s="118"/>
      <c r="J91" s="118"/>
      <c r="K91" s="123">
        <v>1000</v>
      </c>
      <c r="L91" s="126" t="s">
        <v>249</v>
      </c>
      <c r="M91" s="136">
        <f t="shared" si="7"/>
        <v>0</v>
      </c>
    </row>
    <row r="92" spans="1:13" ht="14.25" x14ac:dyDescent="0.2">
      <c r="A92" s="129" t="s">
        <v>273</v>
      </c>
      <c r="C92" s="125" t="s">
        <v>243</v>
      </c>
      <c r="D92" s="118">
        <v>11600</v>
      </c>
      <c r="E92" s="125"/>
      <c r="F92" s="125"/>
      <c r="G92" s="125"/>
      <c r="H92" s="125"/>
      <c r="I92" s="118"/>
      <c r="J92" s="118"/>
      <c r="K92" s="123">
        <v>1000</v>
      </c>
      <c r="L92" s="126" t="s">
        <v>249</v>
      </c>
      <c r="M92" s="136">
        <f t="shared" si="7"/>
        <v>0</v>
      </c>
    </row>
    <row r="93" spans="1:13" ht="14.25" x14ac:dyDescent="0.2">
      <c r="A93" s="129" t="s">
        <v>273</v>
      </c>
      <c r="C93" s="125" t="s">
        <v>331</v>
      </c>
      <c r="D93" s="118">
        <v>4800</v>
      </c>
      <c r="E93" s="125"/>
      <c r="F93" s="125"/>
      <c r="G93" s="125"/>
      <c r="H93" s="125"/>
      <c r="I93" s="118"/>
      <c r="J93" s="118"/>
      <c r="K93" s="123">
        <v>1000</v>
      </c>
      <c r="L93" s="126" t="s">
        <v>249</v>
      </c>
      <c r="M93" s="136">
        <f t="shared" si="7"/>
        <v>0</v>
      </c>
    </row>
    <row r="94" spans="1:13" ht="14.25" x14ac:dyDescent="0.2">
      <c r="A94" s="129" t="s">
        <v>273</v>
      </c>
      <c r="C94" s="125" t="s">
        <v>332</v>
      </c>
      <c r="D94" s="118">
        <v>4000</v>
      </c>
      <c r="E94" s="125"/>
      <c r="F94" s="125"/>
      <c r="G94" s="125"/>
      <c r="H94" s="125"/>
      <c r="I94" s="118"/>
      <c r="J94" s="134"/>
      <c r="K94" s="127">
        <v>1000</v>
      </c>
      <c r="L94" s="126" t="s">
        <v>249</v>
      </c>
      <c r="M94" s="136">
        <f t="shared" si="7"/>
        <v>0</v>
      </c>
    </row>
    <row r="95" spans="1:13" ht="14.25" x14ac:dyDescent="0.2">
      <c r="A95" s="129" t="s">
        <v>273</v>
      </c>
      <c r="C95" s="125" t="s">
        <v>333</v>
      </c>
      <c r="D95" s="118">
        <v>4700</v>
      </c>
      <c r="E95" s="319">
        <v>3580.41</v>
      </c>
      <c r="F95" s="125"/>
      <c r="G95" s="125"/>
      <c r="H95" s="125"/>
      <c r="I95" s="118"/>
      <c r="J95" s="118"/>
      <c r="K95" s="123">
        <v>1000</v>
      </c>
      <c r="L95" s="126" t="s">
        <v>249</v>
      </c>
      <c r="M95" s="282">
        <f>E95/K95</f>
        <v>3.5804099999999996</v>
      </c>
    </row>
    <row r="96" spans="1:13" ht="14.25" x14ac:dyDescent="0.2">
      <c r="A96" s="129" t="s">
        <v>273</v>
      </c>
      <c r="C96" s="125" t="s">
        <v>335</v>
      </c>
      <c r="D96" s="118">
        <v>7800</v>
      </c>
      <c r="E96" s="125"/>
      <c r="F96" s="125"/>
      <c r="G96" s="125"/>
      <c r="H96" s="125"/>
      <c r="I96" s="118"/>
      <c r="J96" s="118"/>
      <c r="K96" s="123">
        <v>1000</v>
      </c>
      <c r="L96" s="126" t="s">
        <v>249</v>
      </c>
      <c r="M96" s="136">
        <f t="shared" si="7"/>
        <v>0</v>
      </c>
    </row>
    <row r="97" spans="1:13" ht="14.25" x14ac:dyDescent="0.2">
      <c r="A97" s="129" t="s">
        <v>273</v>
      </c>
      <c r="C97" s="125" t="s">
        <v>336</v>
      </c>
      <c r="D97" s="118">
        <v>4900</v>
      </c>
      <c r="E97" s="125"/>
      <c r="F97" s="125"/>
      <c r="G97" s="125"/>
      <c r="H97" s="125"/>
      <c r="I97" s="118"/>
      <c r="J97" s="118"/>
      <c r="K97" s="123">
        <v>1000</v>
      </c>
      <c r="L97" s="126" t="s">
        <v>249</v>
      </c>
      <c r="M97" s="136">
        <f t="shared" si="7"/>
        <v>0</v>
      </c>
    </row>
    <row r="98" spans="1:13" ht="14.25" x14ac:dyDescent="0.2">
      <c r="A98" s="129"/>
      <c r="C98" s="125" t="s">
        <v>487</v>
      </c>
      <c r="D98" s="134">
        <v>4400</v>
      </c>
      <c r="E98" s="125"/>
      <c r="F98" s="125"/>
      <c r="G98" s="125"/>
      <c r="H98" s="125"/>
      <c r="I98" s="118"/>
      <c r="J98" s="118"/>
      <c r="K98" s="123"/>
      <c r="L98" s="126"/>
    </row>
    <row r="99" spans="1:13" ht="14.25" x14ac:dyDescent="0.2">
      <c r="A99" s="129"/>
      <c r="C99" s="125"/>
      <c r="D99" s="134"/>
      <c r="E99" s="125"/>
      <c r="F99" s="125"/>
      <c r="G99" s="125"/>
      <c r="H99" s="125"/>
      <c r="I99" s="118"/>
      <c r="J99" s="118"/>
      <c r="K99" s="123"/>
      <c r="L99" s="126"/>
    </row>
    <row r="100" spans="1:13" ht="14.25" x14ac:dyDescent="0.2">
      <c r="A100" s="129"/>
      <c r="C100" s="125"/>
      <c r="D100" s="134"/>
      <c r="E100" s="125"/>
      <c r="F100" s="125"/>
      <c r="G100" s="125"/>
      <c r="H100" s="125"/>
      <c r="I100" s="118"/>
      <c r="J100" s="118"/>
      <c r="K100" s="123"/>
      <c r="L100" s="126"/>
    </row>
    <row r="101" spans="1:13" ht="14.25" x14ac:dyDescent="0.2">
      <c r="A101" s="129"/>
      <c r="C101" s="125"/>
      <c r="D101" s="125"/>
      <c r="E101" s="125"/>
      <c r="F101" s="125"/>
      <c r="G101" s="125"/>
      <c r="H101" s="125"/>
      <c r="I101" s="118"/>
      <c r="J101" s="118"/>
      <c r="K101" s="123"/>
      <c r="L101" s="126"/>
      <c r="M101" s="136" t="e">
        <f t="shared" si="7"/>
        <v>#DIV/0!</v>
      </c>
    </row>
    <row r="102" spans="1:13" ht="14.25" x14ac:dyDescent="0.2">
      <c r="A102" s="129"/>
      <c r="C102" s="125"/>
      <c r="D102" s="125"/>
      <c r="E102" s="125"/>
      <c r="F102" s="125"/>
      <c r="G102" s="125"/>
      <c r="H102" s="125"/>
      <c r="I102" s="118"/>
      <c r="J102" s="118"/>
      <c r="K102" s="123"/>
      <c r="L102" s="126"/>
      <c r="M102" s="136" t="e">
        <f t="shared" si="7"/>
        <v>#DIV/0!</v>
      </c>
    </row>
    <row r="103" spans="1:13" ht="14.25" x14ac:dyDescent="0.2">
      <c r="A103" s="129"/>
      <c r="I103" s="118"/>
      <c r="J103" s="118"/>
      <c r="K103" s="123"/>
      <c r="L103" s="126"/>
      <c r="M103" s="136" t="e">
        <f t="shared" si="7"/>
        <v>#DIV/0!</v>
      </c>
    </row>
    <row r="104" spans="1:13" ht="14.25" x14ac:dyDescent="0.2">
      <c r="A104" s="129"/>
      <c r="C104" s="128"/>
      <c r="D104" s="128"/>
      <c r="E104" s="128"/>
      <c r="F104" s="128"/>
      <c r="G104" s="128"/>
      <c r="H104" s="128"/>
      <c r="I104" s="117"/>
      <c r="J104" s="117"/>
      <c r="K104" s="131"/>
      <c r="L104" s="126"/>
    </row>
    <row r="105" spans="1:13" ht="14.25" x14ac:dyDescent="0.2">
      <c r="A105" s="129"/>
      <c r="C105" s="128"/>
      <c r="D105" s="128"/>
      <c r="E105" s="128"/>
      <c r="F105" s="128"/>
      <c r="G105" s="128"/>
      <c r="H105" s="128"/>
      <c r="I105" s="117"/>
      <c r="J105" s="117"/>
      <c r="K105" s="131"/>
      <c r="L105" s="126"/>
    </row>
    <row r="106" spans="1:13" ht="14.25" x14ac:dyDescent="0.2">
      <c r="A106" s="129"/>
      <c r="C106" s="128"/>
      <c r="D106" s="128"/>
      <c r="E106" s="128"/>
      <c r="F106" s="128"/>
      <c r="G106" s="128"/>
      <c r="H106" s="128"/>
      <c r="I106" s="117"/>
      <c r="J106" s="117"/>
      <c r="K106" s="131"/>
      <c r="L106" s="126"/>
    </row>
    <row r="107" spans="1:13" ht="14.25" x14ac:dyDescent="0.2">
      <c r="A107" s="129"/>
      <c r="C107" s="128"/>
      <c r="D107" s="128"/>
      <c r="E107" s="128"/>
      <c r="F107" s="128"/>
      <c r="G107" s="128"/>
      <c r="H107" s="128"/>
      <c r="I107" s="117"/>
      <c r="J107" s="117"/>
      <c r="K107" s="131"/>
      <c r="L107" s="126"/>
    </row>
    <row r="108" spans="1:13" ht="14.25" x14ac:dyDescent="0.2">
      <c r="A108" s="129"/>
      <c r="C108" s="128"/>
      <c r="D108" s="128"/>
      <c r="E108" s="128"/>
      <c r="F108" s="128"/>
      <c r="G108" s="128"/>
      <c r="H108" s="128"/>
      <c r="I108" s="117"/>
      <c r="J108" s="117"/>
      <c r="K108" s="131"/>
      <c r="L108" s="126"/>
    </row>
    <row r="109" spans="1:13" ht="14.25" x14ac:dyDescent="0.2">
      <c r="A109" s="129"/>
      <c r="C109" s="128"/>
      <c r="D109" s="128"/>
      <c r="E109" s="128"/>
      <c r="F109" s="128"/>
      <c r="G109" s="128"/>
      <c r="H109" s="128"/>
      <c r="I109" s="117"/>
      <c r="J109" s="117"/>
      <c r="K109" s="131"/>
      <c r="L109" s="126"/>
    </row>
    <row r="110" spans="1:13" ht="14.25" x14ac:dyDescent="0.2">
      <c r="A110" s="129"/>
      <c r="I110" s="117"/>
      <c r="J110" s="117"/>
      <c r="K110" s="131"/>
      <c r="L110" s="126"/>
    </row>
    <row r="111" spans="1:13" x14ac:dyDescent="0.2">
      <c r="M111" s="136" t="e">
        <f t="shared" si="7"/>
        <v>#DIV/0!</v>
      </c>
    </row>
    <row r="112" spans="1:13" ht="14.25" x14ac:dyDescent="0.2">
      <c r="A112" s="149"/>
      <c r="B112" s="149"/>
      <c r="C112" s="149" t="s">
        <v>278</v>
      </c>
      <c r="D112" s="149"/>
      <c r="E112" s="149"/>
      <c r="F112" s="149"/>
      <c r="G112" s="149"/>
      <c r="H112" s="149"/>
      <c r="I112" s="149"/>
      <c r="J112" s="149"/>
      <c r="K112" s="149"/>
      <c r="L112" s="149"/>
      <c r="M112" s="136" t="e">
        <f t="shared" si="7"/>
        <v>#DIV/0!</v>
      </c>
    </row>
    <row r="113" spans="1:13" ht="14.25" x14ac:dyDescent="0.2">
      <c r="A113" s="129" t="s">
        <v>273</v>
      </c>
      <c r="C113" s="125" t="s">
        <v>279</v>
      </c>
      <c r="D113" s="118">
        <v>6150</v>
      </c>
      <c r="E113" s="125"/>
      <c r="F113" s="125"/>
      <c r="G113" s="125"/>
      <c r="H113" s="125"/>
      <c r="I113" s="118"/>
      <c r="J113" s="118"/>
      <c r="K113" s="123">
        <v>1</v>
      </c>
      <c r="L113" s="126" t="s">
        <v>248</v>
      </c>
      <c r="M113" s="136">
        <f t="shared" si="7"/>
        <v>0</v>
      </c>
    </row>
    <row r="114" spans="1:13" ht="14.25" x14ac:dyDescent="0.2">
      <c r="A114" s="129" t="s">
        <v>273</v>
      </c>
      <c r="C114" s="125" t="s">
        <v>280</v>
      </c>
      <c r="D114" s="118">
        <v>10800</v>
      </c>
      <c r="E114" s="125"/>
      <c r="F114" s="125"/>
      <c r="G114" s="125"/>
      <c r="H114" s="125"/>
      <c r="I114" s="118"/>
      <c r="J114" s="118"/>
      <c r="K114" s="123">
        <v>1400</v>
      </c>
      <c r="L114" s="126" t="s">
        <v>247</v>
      </c>
      <c r="M114" s="136">
        <f t="shared" si="7"/>
        <v>0</v>
      </c>
    </row>
    <row r="115" spans="1:13" ht="14.25" x14ac:dyDescent="0.2">
      <c r="A115" s="129" t="s">
        <v>273</v>
      </c>
      <c r="C115" s="125" t="s">
        <v>281</v>
      </c>
      <c r="D115" s="134"/>
      <c r="E115" s="125"/>
      <c r="F115" s="125"/>
      <c r="G115" s="125"/>
      <c r="H115" s="125"/>
      <c r="I115" s="134"/>
      <c r="J115" s="134"/>
      <c r="K115" s="123"/>
      <c r="M115" s="136" t="e">
        <f t="shared" si="7"/>
        <v>#DIV/0!</v>
      </c>
    </row>
    <row r="116" spans="1:13" ht="14.25" x14ac:dyDescent="0.2">
      <c r="A116" s="129" t="s">
        <v>273</v>
      </c>
      <c r="C116" s="125" t="s">
        <v>297</v>
      </c>
      <c r="D116" s="134">
        <v>5950</v>
      </c>
      <c r="E116" s="125"/>
      <c r="F116" s="125"/>
      <c r="G116" s="125"/>
      <c r="H116" s="125"/>
      <c r="I116" s="134"/>
      <c r="J116" s="134"/>
      <c r="K116" s="123">
        <v>1000</v>
      </c>
      <c r="L116" s="126" t="s">
        <v>247</v>
      </c>
      <c r="M116" s="136">
        <f t="shared" si="7"/>
        <v>0</v>
      </c>
    </row>
    <row r="117" spans="1:13" ht="14.25" x14ac:dyDescent="0.2">
      <c r="A117" s="119"/>
      <c r="C117" s="125" t="s">
        <v>463</v>
      </c>
      <c r="D117" s="134">
        <v>16550</v>
      </c>
      <c r="E117" s="120"/>
      <c r="F117" s="120"/>
      <c r="G117" s="120"/>
      <c r="H117" s="120"/>
      <c r="I117" s="134"/>
      <c r="J117" s="134"/>
      <c r="K117" s="123"/>
      <c r="M117" s="136" t="e">
        <f t="shared" si="7"/>
        <v>#DIV/0!</v>
      </c>
    </row>
    <row r="118" spans="1:13" ht="14.25" x14ac:dyDescent="0.2">
      <c r="A118" s="119"/>
      <c r="C118" s="120"/>
      <c r="D118" s="120"/>
      <c r="E118" s="120"/>
      <c r="F118" s="120"/>
      <c r="G118" s="120"/>
      <c r="H118" s="120"/>
      <c r="I118" s="134"/>
      <c r="J118" s="134"/>
      <c r="K118" s="123"/>
      <c r="M118" s="136" t="e">
        <f t="shared" si="7"/>
        <v>#DIV/0!</v>
      </c>
    </row>
    <row r="119" spans="1:13" ht="14.25" x14ac:dyDescent="0.2">
      <c r="A119" s="119"/>
      <c r="C119" s="130"/>
      <c r="D119" s="130"/>
      <c r="E119" s="130"/>
      <c r="F119" s="130"/>
      <c r="G119" s="130"/>
      <c r="H119" s="130"/>
      <c r="I119" s="117"/>
      <c r="J119" s="117"/>
      <c r="K119" s="131"/>
      <c r="M119" s="136" t="e">
        <f t="shared" si="7"/>
        <v>#DIV/0!</v>
      </c>
    </row>
    <row r="120" spans="1:13" ht="15" x14ac:dyDescent="0.25">
      <c r="A120" s="182"/>
      <c r="B120" s="182"/>
      <c r="C120" s="182" t="s">
        <v>292</v>
      </c>
      <c r="D120" s="182"/>
      <c r="E120" s="182"/>
      <c r="F120" s="182"/>
      <c r="G120" s="182"/>
      <c r="H120" s="182"/>
      <c r="I120" s="182"/>
      <c r="J120" s="182"/>
      <c r="K120" s="182"/>
      <c r="L120" s="182"/>
      <c r="M120" s="136" t="e">
        <f t="shared" si="7"/>
        <v>#DIV/0!</v>
      </c>
    </row>
    <row r="121" spans="1:13" ht="14.25" x14ac:dyDescent="0.2">
      <c r="A121" s="129" t="s">
        <v>282</v>
      </c>
      <c r="C121" s="125" t="s">
        <v>283</v>
      </c>
      <c r="D121" s="125"/>
      <c r="E121" s="125"/>
      <c r="F121" s="125"/>
      <c r="G121" s="125"/>
      <c r="H121" s="125"/>
      <c r="I121" s="118">
        <v>3000</v>
      </c>
      <c r="J121" s="118"/>
      <c r="K121" s="123">
        <v>10</v>
      </c>
      <c r="L121" s="126" t="s">
        <v>248</v>
      </c>
      <c r="M121" s="136">
        <f t="shared" si="7"/>
        <v>300</v>
      </c>
    </row>
    <row r="122" spans="1:13" ht="14.25" x14ac:dyDescent="0.2">
      <c r="A122" s="129" t="s">
        <v>287</v>
      </c>
      <c r="C122" s="125" t="s">
        <v>288</v>
      </c>
      <c r="D122" s="125"/>
      <c r="E122" s="125"/>
      <c r="F122" s="125"/>
      <c r="G122" s="125"/>
      <c r="H122" s="125"/>
      <c r="I122" s="118">
        <v>3319</v>
      </c>
      <c r="J122" s="118"/>
      <c r="K122" s="123">
        <v>50</v>
      </c>
      <c r="L122" s="126" t="s">
        <v>248</v>
      </c>
      <c r="M122" s="136">
        <f t="shared" si="7"/>
        <v>66.38</v>
      </c>
    </row>
    <row r="123" spans="1:13" ht="14.25" x14ac:dyDescent="0.2">
      <c r="A123" s="132" t="s">
        <v>287</v>
      </c>
      <c r="C123" s="120" t="s">
        <v>289</v>
      </c>
      <c r="D123" s="120"/>
      <c r="E123" s="120"/>
      <c r="F123" s="120"/>
      <c r="G123" s="120"/>
      <c r="H123" s="120"/>
      <c r="I123" s="118">
        <v>2250</v>
      </c>
      <c r="J123" s="118"/>
      <c r="K123" s="123">
        <v>1</v>
      </c>
      <c r="L123" t="s">
        <v>290</v>
      </c>
      <c r="M123" s="136">
        <f t="shared" si="7"/>
        <v>2250</v>
      </c>
    </row>
    <row r="124" spans="1:13" ht="14.25" x14ac:dyDescent="0.2">
      <c r="A124" s="132" t="s">
        <v>287</v>
      </c>
      <c r="C124" s="130" t="s">
        <v>291</v>
      </c>
      <c r="D124" s="130"/>
      <c r="E124" s="130"/>
      <c r="F124" s="130"/>
      <c r="G124" s="130"/>
      <c r="H124" s="130"/>
      <c r="I124" s="117">
        <v>4490</v>
      </c>
      <c r="J124" s="117"/>
      <c r="K124" s="131">
        <v>1</v>
      </c>
      <c r="L124" t="s">
        <v>290</v>
      </c>
      <c r="M124" s="136">
        <f t="shared" si="7"/>
        <v>4490</v>
      </c>
    </row>
    <row r="125" spans="1:13" ht="14.25" x14ac:dyDescent="0.2">
      <c r="A125" s="119"/>
      <c r="C125" s="120"/>
      <c r="D125" s="120"/>
      <c r="E125" s="120"/>
      <c r="F125" s="120"/>
      <c r="G125" s="120"/>
      <c r="H125" s="120"/>
      <c r="I125" s="118"/>
      <c r="J125" s="118"/>
      <c r="K125" s="123"/>
      <c r="M125" s="136" t="e">
        <f t="shared" si="7"/>
        <v>#DIV/0!</v>
      </c>
    </row>
    <row r="126" spans="1:13" ht="30" x14ac:dyDescent="0.25">
      <c r="A126" s="182"/>
      <c r="B126" s="182"/>
      <c r="C126" s="182" t="s">
        <v>313</v>
      </c>
      <c r="D126" s="180" t="s">
        <v>273</v>
      </c>
      <c r="E126" s="182" t="s">
        <v>287</v>
      </c>
      <c r="F126" s="188" t="s">
        <v>486</v>
      </c>
      <c r="G126" s="182" t="s">
        <v>544</v>
      </c>
      <c r="H126" s="182" t="s">
        <v>540</v>
      </c>
      <c r="I126" s="182"/>
      <c r="J126" s="182"/>
      <c r="K126" s="182"/>
      <c r="L126" s="182"/>
      <c r="M126" s="136" t="e">
        <f t="shared" si="7"/>
        <v>#DIV/0!</v>
      </c>
    </row>
    <row r="127" spans="1:13" ht="14.25" x14ac:dyDescent="0.2">
      <c r="A127" s="129" t="s">
        <v>273</v>
      </c>
      <c r="C127" s="125" t="s">
        <v>314</v>
      </c>
      <c r="D127" s="186">
        <v>4590</v>
      </c>
      <c r="E127" s="125"/>
      <c r="F127" s="125"/>
      <c r="G127" s="125"/>
      <c r="H127" s="125"/>
      <c r="I127" s="118"/>
      <c r="J127" s="118"/>
      <c r="K127" s="123">
        <v>500</v>
      </c>
      <c r="L127" s="126" t="s">
        <v>249</v>
      </c>
      <c r="M127" s="136">
        <f t="shared" si="7"/>
        <v>0</v>
      </c>
    </row>
    <row r="128" spans="1:13" ht="14.25" x14ac:dyDescent="0.2">
      <c r="A128" s="129" t="s">
        <v>273</v>
      </c>
      <c r="C128" s="125" t="s">
        <v>315</v>
      </c>
      <c r="D128" s="186">
        <v>12950</v>
      </c>
      <c r="E128" s="125"/>
      <c r="F128" s="125"/>
      <c r="G128" s="125"/>
      <c r="H128" s="125"/>
      <c r="I128" s="118"/>
      <c r="J128" s="118"/>
      <c r="K128" s="123">
        <v>100</v>
      </c>
      <c r="L128" s="126" t="s">
        <v>249</v>
      </c>
      <c r="M128" s="136">
        <f t="shared" si="7"/>
        <v>0</v>
      </c>
    </row>
    <row r="129" spans="1:13" ht="14.25" x14ac:dyDescent="0.2">
      <c r="A129" s="129" t="s">
        <v>273</v>
      </c>
      <c r="C129" s="125" t="s">
        <v>316</v>
      </c>
      <c r="D129" s="186">
        <v>14900</v>
      </c>
      <c r="E129" s="125"/>
      <c r="F129" s="125"/>
      <c r="G129" s="125"/>
      <c r="H129" s="125"/>
      <c r="I129" s="118"/>
      <c r="J129" s="118"/>
      <c r="K129" s="123">
        <v>414</v>
      </c>
      <c r="L129" s="126" t="s">
        <v>249</v>
      </c>
      <c r="M129" s="136">
        <f t="shared" si="7"/>
        <v>0</v>
      </c>
    </row>
    <row r="130" spans="1:13" ht="14.25" x14ac:dyDescent="0.2">
      <c r="A130" s="129" t="s">
        <v>273</v>
      </c>
      <c r="C130" s="125" t="s">
        <v>317</v>
      </c>
      <c r="D130" s="186">
        <v>6100</v>
      </c>
      <c r="E130" s="125"/>
      <c r="F130" s="125"/>
      <c r="G130" s="125"/>
      <c r="H130" s="125"/>
      <c r="I130" s="118"/>
      <c r="J130" s="118"/>
      <c r="K130" s="123">
        <v>30</v>
      </c>
      <c r="L130" s="126" t="s">
        <v>249</v>
      </c>
      <c r="M130" s="136">
        <f t="shared" si="7"/>
        <v>0</v>
      </c>
    </row>
    <row r="131" spans="1:13" ht="14.25" x14ac:dyDescent="0.2">
      <c r="A131" s="129" t="s">
        <v>273</v>
      </c>
      <c r="C131" s="125" t="s">
        <v>318</v>
      </c>
      <c r="D131" s="186">
        <v>22250</v>
      </c>
      <c r="E131" s="125"/>
      <c r="F131" s="125"/>
      <c r="G131" s="125"/>
      <c r="H131" s="125"/>
      <c r="I131" s="118"/>
      <c r="J131" s="118"/>
      <c r="K131" s="123">
        <v>1100</v>
      </c>
      <c r="L131" s="126" t="s">
        <v>249</v>
      </c>
      <c r="M131" s="136">
        <f t="shared" si="7"/>
        <v>0</v>
      </c>
    </row>
    <row r="132" spans="1:13" ht="14.25" x14ac:dyDescent="0.2">
      <c r="A132" s="129" t="s">
        <v>273</v>
      </c>
      <c r="C132" s="125" t="s">
        <v>319</v>
      </c>
      <c r="D132" s="186">
        <v>2200</v>
      </c>
      <c r="E132" s="125"/>
      <c r="F132" s="125"/>
      <c r="G132" s="125"/>
      <c r="H132" s="125"/>
      <c r="I132" s="118"/>
      <c r="J132" s="118"/>
      <c r="K132" s="123">
        <v>100</v>
      </c>
      <c r="L132" s="126" t="s">
        <v>249</v>
      </c>
      <c r="M132" s="136">
        <f t="shared" si="7"/>
        <v>0</v>
      </c>
    </row>
    <row r="133" spans="1:13" ht="14.25" x14ac:dyDescent="0.2">
      <c r="A133" s="129" t="s">
        <v>273</v>
      </c>
      <c r="C133" s="125" t="s">
        <v>320</v>
      </c>
      <c r="D133" s="186">
        <v>23900</v>
      </c>
      <c r="E133" s="125"/>
      <c r="F133" s="125"/>
      <c r="G133" s="125"/>
      <c r="H133" s="125"/>
      <c r="I133" s="118"/>
      <c r="J133" s="118"/>
      <c r="K133" s="123">
        <v>5000</v>
      </c>
      <c r="L133" s="126" t="s">
        <v>249</v>
      </c>
      <c r="M133" s="136">
        <f>D133/K133</f>
        <v>4.78</v>
      </c>
    </row>
    <row r="134" spans="1:13" ht="14.25" x14ac:dyDescent="0.2">
      <c r="A134" s="129" t="s">
        <v>273</v>
      </c>
      <c r="C134" s="125" t="s">
        <v>323</v>
      </c>
      <c r="D134" s="186">
        <v>3550</v>
      </c>
      <c r="E134" s="125"/>
      <c r="F134" s="125"/>
      <c r="G134" s="125"/>
      <c r="H134" s="125"/>
      <c r="I134" s="118"/>
      <c r="J134" s="118"/>
      <c r="K134" s="123">
        <v>10</v>
      </c>
      <c r="L134" s="126" t="s">
        <v>248</v>
      </c>
      <c r="M134" s="136">
        <f t="shared" si="7"/>
        <v>0</v>
      </c>
    </row>
    <row r="135" spans="1:13" ht="14.25" x14ac:dyDescent="0.2">
      <c r="A135" s="129" t="s">
        <v>273</v>
      </c>
      <c r="C135" s="125" t="s">
        <v>324</v>
      </c>
      <c r="D135" s="186">
        <v>4850</v>
      </c>
      <c r="E135" s="125"/>
      <c r="F135" s="125"/>
      <c r="G135" s="125"/>
      <c r="H135" s="125"/>
      <c r="I135" s="118"/>
      <c r="J135" s="118"/>
      <c r="K135" s="123">
        <v>200</v>
      </c>
      <c r="L135" s="126" t="s">
        <v>249</v>
      </c>
      <c r="M135" s="136">
        <f>D135/K135</f>
        <v>24.25</v>
      </c>
    </row>
    <row r="136" spans="1:13" ht="14.25" x14ac:dyDescent="0.2">
      <c r="A136" s="129" t="s">
        <v>273</v>
      </c>
      <c r="C136" s="125" t="s">
        <v>325</v>
      </c>
      <c r="D136" s="186">
        <v>44400</v>
      </c>
      <c r="E136" s="125"/>
      <c r="F136" s="125"/>
      <c r="G136" s="125"/>
      <c r="H136" s="125"/>
      <c r="I136" s="118"/>
      <c r="J136" s="118"/>
      <c r="K136" s="123">
        <v>1000</v>
      </c>
      <c r="L136" s="126" t="s">
        <v>249</v>
      </c>
      <c r="M136" s="136">
        <f t="shared" si="7"/>
        <v>0</v>
      </c>
    </row>
    <row r="137" spans="1:13" ht="14.25" x14ac:dyDescent="0.2">
      <c r="A137" s="129" t="s">
        <v>273</v>
      </c>
      <c r="C137" s="125" t="s">
        <v>326</v>
      </c>
      <c r="D137" s="186">
        <v>14950</v>
      </c>
      <c r="E137" s="125"/>
      <c r="F137" s="125"/>
      <c r="G137" s="125"/>
      <c r="H137" s="125"/>
      <c r="I137" s="118"/>
      <c r="J137" s="118"/>
      <c r="K137" s="123">
        <v>380</v>
      </c>
      <c r="L137" s="126" t="s">
        <v>249</v>
      </c>
      <c r="M137" s="136">
        <f t="shared" si="7"/>
        <v>0</v>
      </c>
    </row>
    <row r="138" spans="1:13" ht="14.25" x14ac:dyDescent="0.2">
      <c r="A138" s="129" t="s">
        <v>273</v>
      </c>
      <c r="C138" s="125" t="s">
        <v>327</v>
      </c>
      <c r="D138" s="186">
        <v>2250</v>
      </c>
      <c r="E138" s="125"/>
      <c r="F138" s="125"/>
      <c r="G138" s="125"/>
      <c r="H138" s="125"/>
      <c r="I138" s="118"/>
      <c r="J138" s="118"/>
      <c r="K138" s="123">
        <v>1000</v>
      </c>
      <c r="L138" s="126" t="s">
        <v>249</v>
      </c>
      <c r="M138" s="136">
        <f t="shared" si="7"/>
        <v>0</v>
      </c>
    </row>
    <row r="139" spans="1:13" ht="14.25" x14ac:dyDescent="0.2">
      <c r="A139" s="129" t="s">
        <v>273</v>
      </c>
      <c r="C139" s="125" t="s">
        <v>328</v>
      </c>
      <c r="D139" s="186">
        <v>7300</v>
      </c>
      <c r="E139" s="125"/>
      <c r="F139" s="125"/>
      <c r="G139" s="125"/>
      <c r="H139" s="125"/>
      <c r="I139" s="118"/>
      <c r="J139" s="118"/>
      <c r="K139" s="123">
        <v>125</v>
      </c>
      <c r="L139" s="126" t="s">
        <v>249</v>
      </c>
      <c r="M139" s="136">
        <f t="shared" si="7"/>
        <v>0</v>
      </c>
    </row>
    <row r="140" spans="1:13" ht="14.25" x14ac:dyDescent="0.2">
      <c r="A140" s="129" t="s">
        <v>273</v>
      </c>
      <c r="C140" s="125" t="s">
        <v>334</v>
      </c>
      <c r="D140" s="186">
        <v>4150</v>
      </c>
      <c r="E140" s="125"/>
      <c r="F140" s="125"/>
      <c r="G140" s="125"/>
      <c r="H140" s="125"/>
      <c r="I140" s="118"/>
      <c r="J140" s="118"/>
      <c r="K140" s="123">
        <v>250</v>
      </c>
      <c r="L140" s="126" t="s">
        <v>249</v>
      </c>
      <c r="M140" s="136">
        <f t="shared" si="7"/>
        <v>0</v>
      </c>
    </row>
    <row r="141" spans="1:13" ht="14.25" x14ac:dyDescent="0.2">
      <c r="A141" s="129" t="s">
        <v>273</v>
      </c>
      <c r="C141" s="125" t="s">
        <v>337</v>
      </c>
      <c r="D141" s="186">
        <v>1150</v>
      </c>
      <c r="E141" s="125"/>
      <c r="F141" s="125"/>
      <c r="G141" s="125"/>
      <c r="H141" s="125"/>
      <c r="I141" s="118"/>
      <c r="J141" s="118"/>
      <c r="K141" s="123">
        <v>50</v>
      </c>
      <c r="L141" s="126" t="s">
        <v>249</v>
      </c>
      <c r="M141" s="136">
        <f t="shared" si="7"/>
        <v>0</v>
      </c>
    </row>
    <row r="142" spans="1:13" ht="14.25" x14ac:dyDescent="0.2">
      <c r="A142" s="129" t="s">
        <v>273</v>
      </c>
      <c r="C142" s="125" t="s">
        <v>341</v>
      </c>
      <c r="D142" s="186">
        <v>23850</v>
      </c>
      <c r="E142" s="125"/>
      <c r="F142" s="125"/>
      <c r="G142" s="125"/>
      <c r="H142" s="125"/>
      <c r="I142" s="118"/>
      <c r="J142" s="118"/>
      <c r="K142" s="123">
        <v>3000</v>
      </c>
      <c r="L142" s="126" t="s">
        <v>247</v>
      </c>
      <c r="M142" s="136">
        <f t="shared" si="7"/>
        <v>0</v>
      </c>
    </row>
    <row r="143" spans="1:13" ht="14.25" x14ac:dyDescent="0.2">
      <c r="A143" s="129" t="s">
        <v>273</v>
      </c>
      <c r="C143" s="138" t="s">
        <v>342</v>
      </c>
      <c r="D143" s="186">
        <v>16800</v>
      </c>
      <c r="E143" s="138"/>
      <c r="F143" s="138"/>
      <c r="G143" s="138"/>
      <c r="H143" s="138"/>
      <c r="I143" s="118"/>
      <c r="J143" s="118"/>
      <c r="K143" s="123">
        <v>565</v>
      </c>
      <c r="L143" s="126" t="s">
        <v>247</v>
      </c>
      <c r="M143" s="136">
        <f t="shared" si="7"/>
        <v>0</v>
      </c>
    </row>
    <row r="144" spans="1:13" ht="14.25" x14ac:dyDescent="0.2">
      <c r="A144" s="129" t="s">
        <v>273</v>
      </c>
      <c r="C144" s="125" t="s">
        <v>343</v>
      </c>
      <c r="D144" s="186">
        <v>34000</v>
      </c>
      <c r="E144" s="125"/>
      <c r="F144" s="125"/>
      <c r="G144" s="125"/>
      <c r="H144" s="125"/>
      <c r="I144" s="118"/>
      <c r="J144" s="118"/>
      <c r="K144" s="123">
        <v>1360</v>
      </c>
      <c r="L144" s="126" t="s">
        <v>247</v>
      </c>
      <c r="M144" s="136">
        <f t="shared" si="7"/>
        <v>0</v>
      </c>
    </row>
    <row r="145" spans="1:13" ht="14.25" x14ac:dyDescent="0.2">
      <c r="A145" s="129" t="s">
        <v>273</v>
      </c>
      <c r="C145" s="125" t="s">
        <v>457</v>
      </c>
      <c r="D145" s="183">
        <v>11950</v>
      </c>
      <c r="E145" s="125"/>
      <c r="F145" s="125"/>
      <c r="G145" s="125"/>
      <c r="H145" s="125"/>
      <c r="I145" s="118"/>
      <c r="J145" s="118"/>
      <c r="K145" s="123"/>
      <c r="L145" s="126"/>
    </row>
    <row r="146" spans="1:13" ht="14.25" x14ac:dyDescent="0.2">
      <c r="A146" s="129"/>
      <c r="C146" s="125" t="s">
        <v>458</v>
      </c>
      <c r="D146" s="185">
        <v>7050</v>
      </c>
      <c r="E146" s="125"/>
      <c r="F146" s="125"/>
      <c r="G146" s="125"/>
      <c r="H146" s="125"/>
      <c r="I146" s="118"/>
      <c r="J146" s="118"/>
      <c r="K146" s="123"/>
      <c r="L146" s="126"/>
    </row>
    <row r="147" spans="1:13" ht="14.25" x14ac:dyDescent="0.2">
      <c r="A147" s="129"/>
      <c r="C147" s="125" t="s">
        <v>459</v>
      </c>
      <c r="D147" s="185">
        <v>39100</v>
      </c>
      <c r="E147" s="125"/>
      <c r="F147" s="125"/>
      <c r="G147" s="125"/>
      <c r="H147" s="125"/>
      <c r="I147" s="118"/>
      <c r="J147" s="118"/>
      <c r="K147" s="123"/>
      <c r="L147" s="126"/>
    </row>
    <row r="148" spans="1:13" ht="14.25" x14ac:dyDescent="0.2">
      <c r="A148" s="129"/>
      <c r="C148" s="125" t="s">
        <v>460</v>
      </c>
      <c r="D148" s="185">
        <v>7550</v>
      </c>
      <c r="E148" s="125"/>
      <c r="F148" s="125"/>
      <c r="G148" s="125"/>
      <c r="H148" s="125"/>
      <c r="I148" s="118"/>
      <c r="J148" s="118"/>
      <c r="K148" s="123"/>
      <c r="L148" s="126"/>
    </row>
    <row r="149" spans="1:13" ht="14.25" x14ac:dyDescent="0.2">
      <c r="A149" s="129"/>
      <c r="C149" s="125" t="s">
        <v>461</v>
      </c>
      <c r="D149" s="184">
        <v>12350</v>
      </c>
      <c r="E149" s="125"/>
      <c r="F149" s="125"/>
      <c r="G149" s="125"/>
      <c r="H149" s="125"/>
      <c r="I149" s="118"/>
      <c r="J149" s="118"/>
      <c r="K149" s="123">
        <v>2500</v>
      </c>
      <c r="L149" s="280" t="s">
        <v>249</v>
      </c>
      <c r="M149" s="136">
        <f>D149/K149</f>
        <v>4.9400000000000004</v>
      </c>
    </row>
    <row r="150" spans="1:13" ht="14.25" x14ac:dyDescent="0.2">
      <c r="A150" s="129"/>
      <c r="C150" s="125" t="s">
        <v>462</v>
      </c>
      <c r="D150" s="185">
        <v>10050</v>
      </c>
      <c r="E150" s="125"/>
      <c r="F150" s="125"/>
      <c r="G150" s="125"/>
      <c r="H150" s="125"/>
      <c r="I150" s="118"/>
      <c r="J150" s="118"/>
      <c r="K150" s="123"/>
      <c r="L150" s="126"/>
    </row>
    <row r="151" spans="1:13" ht="14.25" x14ac:dyDescent="0.2">
      <c r="A151" s="129"/>
      <c r="C151" s="125" t="s">
        <v>465</v>
      </c>
      <c r="D151" s="185"/>
      <c r="E151" s="184">
        <v>3990</v>
      </c>
      <c r="F151" s="125"/>
      <c r="G151" s="125"/>
      <c r="H151" s="125"/>
      <c r="I151" s="118"/>
      <c r="J151" s="118"/>
      <c r="K151" s="123"/>
      <c r="L151" s="126"/>
    </row>
    <row r="152" spans="1:13" ht="14.25" x14ac:dyDescent="0.2">
      <c r="A152" s="129"/>
      <c r="C152" s="125" t="s">
        <v>466</v>
      </c>
      <c r="D152" s="185"/>
      <c r="E152" s="184">
        <v>6990</v>
      </c>
      <c r="F152" s="125"/>
      <c r="G152" s="125"/>
      <c r="H152" s="125"/>
      <c r="I152" s="118"/>
      <c r="J152" s="118"/>
      <c r="K152" s="123"/>
      <c r="L152" s="126"/>
    </row>
    <row r="153" spans="1:13" ht="14.25" x14ac:dyDescent="0.2">
      <c r="A153" s="129"/>
      <c r="C153" s="125" t="s">
        <v>464</v>
      </c>
      <c r="D153" s="185"/>
      <c r="E153" s="134">
        <v>5490</v>
      </c>
      <c r="F153" s="125"/>
      <c r="G153" s="125"/>
      <c r="H153" s="125"/>
      <c r="I153" s="118"/>
      <c r="J153" s="118"/>
      <c r="K153" s="123"/>
      <c r="L153" s="126"/>
    </row>
    <row r="154" spans="1:13" ht="14.25" x14ac:dyDescent="0.2">
      <c r="A154" s="129"/>
      <c r="C154" s="125" t="s">
        <v>289</v>
      </c>
      <c r="D154" s="183"/>
      <c r="E154" s="183">
        <v>2250</v>
      </c>
      <c r="F154" s="125"/>
      <c r="G154" s="125"/>
      <c r="H154" s="125"/>
      <c r="I154" s="118"/>
      <c r="J154" s="118"/>
      <c r="K154" s="123"/>
      <c r="L154" s="126"/>
    </row>
    <row r="155" spans="1:13" ht="14.25" x14ac:dyDescent="0.2">
      <c r="A155" s="129"/>
      <c r="C155" s="281" t="s">
        <v>572</v>
      </c>
      <c r="D155" s="183"/>
      <c r="E155" s="183">
        <v>19950</v>
      </c>
      <c r="F155" s="283"/>
      <c r="G155" s="283"/>
      <c r="H155" s="125"/>
      <c r="I155" s="118"/>
      <c r="J155" s="118"/>
      <c r="K155" s="123">
        <v>1000</v>
      </c>
      <c r="L155" s="280" t="s">
        <v>249</v>
      </c>
      <c r="M155" s="136">
        <f>E155/K155</f>
        <v>19.95</v>
      </c>
    </row>
    <row r="156" spans="1:13" ht="14.25" x14ac:dyDescent="0.2">
      <c r="A156" s="129"/>
      <c r="C156" s="125" t="s">
        <v>467</v>
      </c>
      <c r="D156" s="185">
        <v>4900</v>
      </c>
      <c r="E156" s="134"/>
      <c r="F156" s="134"/>
      <c r="G156" s="125"/>
      <c r="H156" s="125"/>
      <c r="I156" s="118"/>
      <c r="J156" s="118"/>
      <c r="K156" s="123"/>
      <c r="L156" s="126"/>
    </row>
    <row r="157" spans="1:13" ht="14.25" x14ac:dyDescent="0.2">
      <c r="A157" s="129"/>
      <c r="C157" s="125" t="s">
        <v>468</v>
      </c>
      <c r="D157" s="185">
        <v>39300</v>
      </c>
      <c r="E157" s="134"/>
      <c r="F157" s="134"/>
      <c r="G157" s="125"/>
      <c r="H157" s="125"/>
      <c r="I157" s="118"/>
      <c r="J157" s="118"/>
      <c r="K157" s="123"/>
      <c r="L157" s="126"/>
    </row>
    <row r="158" spans="1:13" ht="14.25" x14ac:dyDescent="0.2">
      <c r="A158" s="129"/>
      <c r="C158" s="125" t="s">
        <v>485</v>
      </c>
      <c r="D158" s="185"/>
      <c r="E158" s="134"/>
      <c r="F158" s="184">
        <v>18000</v>
      </c>
      <c r="G158" s="125"/>
      <c r="H158" s="125"/>
      <c r="I158" s="118"/>
      <c r="J158" s="118"/>
      <c r="K158" s="123"/>
      <c r="L158" s="126"/>
    </row>
    <row r="159" spans="1:13" ht="14.25" x14ac:dyDescent="0.2">
      <c r="A159" s="129"/>
      <c r="C159" s="281" t="s">
        <v>545</v>
      </c>
      <c r="D159" s="134"/>
      <c r="E159" s="134"/>
      <c r="F159" s="125"/>
      <c r="G159" s="184">
        <v>11300</v>
      </c>
      <c r="H159" s="125"/>
      <c r="I159" s="118"/>
      <c r="J159" s="118"/>
      <c r="K159" s="123">
        <v>440</v>
      </c>
      <c r="L159" s="280" t="s">
        <v>249</v>
      </c>
      <c r="M159" s="136">
        <f>G159/K159</f>
        <v>25.681818181818183</v>
      </c>
    </row>
    <row r="160" spans="1:13" ht="14.25" x14ac:dyDescent="0.2">
      <c r="A160" s="129"/>
      <c r="C160" s="281" t="s">
        <v>548</v>
      </c>
      <c r="D160" s="134"/>
      <c r="E160" s="134"/>
      <c r="F160" s="184">
        <v>15700</v>
      </c>
      <c r="G160" s="184"/>
      <c r="H160" s="125"/>
      <c r="I160" s="118"/>
      <c r="J160" s="118"/>
      <c r="K160" s="123">
        <v>500</v>
      </c>
      <c r="L160" s="280" t="s">
        <v>249</v>
      </c>
      <c r="M160" s="136">
        <f>F160/K160</f>
        <v>31.4</v>
      </c>
    </row>
    <row r="161" spans="1:13" ht="14.25" x14ac:dyDescent="0.2">
      <c r="A161" s="129"/>
      <c r="C161" s="281" t="s">
        <v>547</v>
      </c>
      <c r="D161" s="183"/>
      <c r="E161" s="183"/>
      <c r="F161" s="120"/>
      <c r="G161" s="120"/>
      <c r="H161" s="183">
        <v>4960</v>
      </c>
      <c r="I161" s="118"/>
      <c r="J161" s="118"/>
      <c r="K161" s="123">
        <v>1000</v>
      </c>
      <c r="L161" s="280" t="s">
        <v>249</v>
      </c>
      <c r="M161" s="136">
        <f>H161/K161</f>
        <v>4.96</v>
      </c>
    </row>
    <row r="162" spans="1:13" ht="14.25" x14ac:dyDescent="0.2">
      <c r="A162" s="129"/>
      <c r="C162" s="281" t="s">
        <v>600</v>
      </c>
      <c r="D162" s="315"/>
      <c r="E162" s="315"/>
      <c r="F162" s="130"/>
      <c r="G162" s="130"/>
      <c r="H162" s="316">
        <v>2521</v>
      </c>
      <c r="I162" s="117"/>
      <c r="J162" s="117"/>
      <c r="K162" s="123">
        <v>1000</v>
      </c>
      <c r="L162" s="280" t="s">
        <v>249</v>
      </c>
      <c r="M162" s="282">
        <f>H162/K162</f>
        <v>2.5209999999999999</v>
      </c>
    </row>
    <row r="163" spans="1:13" ht="14.25" x14ac:dyDescent="0.2">
      <c r="A163" t="s">
        <v>540</v>
      </c>
      <c r="C163" s="125" t="s">
        <v>599</v>
      </c>
      <c r="H163" s="90">
        <v>6110</v>
      </c>
      <c r="K163" s="123">
        <v>1000</v>
      </c>
      <c r="L163" s="280" t="s">
        <v>249</v>
      </c>
      <c r="M163" s="282">
        <f>H163/K163</f>
        <v>6.11</v>
      </c>
    </row>
    <row r="164" spans="1:13" ht="13.5" thickBot="1" x14ac:dyDescent="0.25"/>
    <row r="165" spans="1:13" ht="13.5" thickBot="1" x14ac:dyDescent="0.25">
      <c r="C165" s="314"/>
    </row>
  </sheetData>
  <mergeCells count="2">
    <mergeCell ref="A1:M1"/>
    <mergeCell ref="A72:L72"/>
  </mergeCells>
  <phoneticPr fontId="23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3279-450B-4C4D-A25A-DDE6579C0372}">
  <dimension ref="A1:T45"/>
  <sheetViews>
    <sheetView topLeftCell="D1" zoomScale="110" zoomScaleNormal="110" workbookViewId="0">
      <pane ySplit="1" topLeftCell="A25" activePane="bottomLeft" state="frozen"/>
      <selection pane="bottomLeft" activeCell="P38" sqref="P38"/>
    </sheetView>
  </sheetViews>
  <sheetFormatPr baseColWidth="10" defaultRowHeight="12.75" x14ac:dyDescent="0.2"/>
  <cols>
    <col min="1" max="1" width="5.42578125" style="286" customWidth="1"/>
    <col min="2" max="2" width="12.42578125" bestFit="1" customWidth="1"/>
    <col min="3" max="3" width="41.28515625" customWidth="1"/>
    <col min="4" max="4" width="12.5703125" bestFit="1" customWidth="1"/>
    <col min="5" max="5" width="13.42578125" customWidth="1"/>
    <col min="6" max="6" width="7.7109375" hidden="1" customWidth="1"/>
    <col min="7" max="7" width="9.7109375" hidden="1" customWidth="1"/>
    <col min="8" max="8" width="10.7109375" hidden="1" customWidth="1"/>
    <col min="9" max="9" width="12.7109375" hidden="1" customWidth="1"/>
    <col min="10" max="10" width="10.7109375" bestFit="1" customWidth="1"/>
    <col min="11" max="11" width="12.5703125" bestFit="1" customWidth="1"/>
    <col min="12" max="12" width="14.7109375" bestFit="1" customWidth="1"/>
    <col min="13" max="13" width="17.140625" customWidth="1"/>
    <col min="14" max="14" width="16" customWidth="1"/>
    <col min="15" max="15" width="15.28515625" customWidth="1"/>
    <col min="16" max="16" width="15.5703125" customWidth="1"/>
    <col min="17" max="17" width="19.42578125" bestFit="1" customWidth="1"/>
    <col min="18" max="18" width="19" bestFit="1" customWidth="1"/>
    <col min="19" max="19" width="16" bestFit="1" customWidth="1"/>
    <col min="20" max="20" width="44" bestFit="1" customWidth="1"/>
  </cols>
  <sheetData>
    <row r="1" spans="1:20" ht="60" x14ac:dyDescent="0.2">
      <c r="A1" s="284" t="s">
        <v>207</v>
      </c>
      <c r="B1" s="78" t="s">
        <v>224</v>
      </c>
      <c r="C1" s="78" t="s">
        <v>208</v>
      </c>
      <c r="D1" s="79" t="s">
        <v>220</v>
      </c>
      <c r="E1" s="79" t="s">
        <v>586</v>
      </c>
      <c r="F1" s="79" t="s">
        <v>209</v>
      </c>
      <c r="G1" s="80" t="s">
        <v>210</v>
      </c>
      <c r="H1" s="79" t="s">
        <v>215</v>
      </c>
      <c r="I1" s="81" t="s">
        <v>211</v>
      </c>
      <c r="J1" s="79" t="s">
        <v>212</v>
      </c>
      <c r="K1" s="79" t="s">
        <v>213</v>
      </c>
      <c r="L1" s="309" t="s">
        <v>585</v>
      </c>
      <c r="M1" s="310" t="s">
        <v>581</v>
      </c>
      <c r="N1" s="311" t="s">
        <v>582</v>
      </c>
      <c r="O1" s="310" t="s">
        <v>584</v>
      </c>
      <c r="P1" s="311" t="s">
        <v>583</v>
      </c>
      <c r="Q1" s="82" t="s">
        <v>217</v>
      </c>
      <c r="R1" s="83" t="s">
        <v>218</v>
      </c>
      <c r="S1" s="84" t="s">
        <v>216</v>
      </c>
      <c r="T1" s="85" t="s">
        <v>219</v>
      </c>
    </row>
    <row r="2" spans="1:20" x14ac:dyDescent="0.2">
      <c r="A2" s="285">
        <v>1</v>
      </c>
      <c r="B2" s="248" t="s">
        <v>587</v>
      </c>
      <c r="C2" s="249" t="s">
        <v>521</v>
      </c>
      <c r="D2" s="250">
        <f>'CORTES '!F15</f>
        <v>23010.9</v>
      </c>
      <c r="E2" s="86">
        <f t="shared" ref="E2:E26" si="0">D2/K2</f>
        <v>0.4518504000000001</v>
      </c>
      <c r="F2" s="250">
        <v>0</v>
      </c>
      <c r="G2" s="250">
        <f>+D2+F2</f>
        <v>23010.9</v>
      </c>
      <c r="H2" s="86">
        <f t="shared" ref="H2:H27" si="1">G2/K2</f>
        <v>0.4518504000000001</v>
      </c>
      <c r="I2" s="250">
        <f>+D2+F2+H2</f>
        <v>23011.351850400002</v>
      </c>
      <c r="J2" s="250">
        <f>'CORTES '!F16</f>
        <v>55000</v>
      </c>
      <c r="K2" s="250">
        <f>+J2/1.08</f>
        <v>50925.92592592592</v>
      </c>
      <c r="L2" s="308">
        <f t="shared" ref="L2:L27" si="2">J2</f>
        <v>55000</v>
      </c>
      <c r="M2" s="250">
        <v>0</v>
      </c>
      <c r="N2" s="86">
        <f t="shared" ref="N2:N11" si="3">M2/K2</f>
        <v>0</v>
      </c>
      <c r="O2" s="250">
        <v>0</v>
      </c>
      <c r="P2" s="86">
        <f t="shared" ref="P2:P11" si="4">O2/K2</f>
        <v>0</v>
      </c>
      <c r="Q2" s="308" t="e">
        <f>#REF!</f>
        <v>#REF!</v>
      </c>
      <c r="R2" s="347">
        <v>0</v>
      </c>
      <c r="S2" s="87"/>
      <c r="T2" s="88"/>
    </row>
    <row r="3" spans="1:20" x14ac:dyDescent="0.2">
      <c r="A3" s="285">
        <v>2</v>
      </c>
      <c r="B3" s="248" t="s">
        <v>587</v>
      </c>
      <c r="C3" s="272" t="s">
        <v>522</v>
      </c>
      <c r="D3" s="250">
        <f>'CORTES '!L15</f>
        <v>33005.5</v>
      </c>
      <c r="E3" s="86">
        <f t="shared" si="0"/>
        <v>0.71291880000000007</v>
      </c>
      <c r="F3" s="250">
        <v>0</v>
      </c>
      <c r="G3" s="250">
        <f t="shared" ref="G3:G7" si="5">+D3+F3</f>
        <v>33005.5</v>
      </c>
      <c r="H3" s="86">
        <f t="shared" si="1"/>
        <v>0.71291880000000007</v>
      </c>
      <c r="I3" s="250">
        <f t="shared" ref="I3:I7" si="6">+D3+F3+H3</f>
        <v>33006.212918800004</v>
      </c>
      <c r="J3" s="250">
        <f>'CORTES '!L16</f>
        <v>50000</v>
      </c>
      <c r="K3" s="250">
        <f t="shared" ref="K3:K7" si="7">+J3/1.08</f>
        <v>46296.296296296292</v>
      </c>
      <c r="L3" s="308">
        <f t="shared" si="2"/>
        <v>50000</v>
      </c>
      <c r="M3" s="250">
        <v>0</v>
      </c>
      <c r="N3" s="86">
        <f t="shared" si="3"/>
        <v>0</v>
      </c>
      <c r="O3" s="250">
        <v>0</v>
      </c>
      <c r="P3" s="86">
        <f t="shared" si="4"/>
        <v>0</v>
      </c>
      <c r="Q3" s="308" t="e">
        <f>#REF!</f>
        <v>#REF!</v>
      </c>
      <c r="R3" s="347">
        <v>0</v>
      </c>
      <c r="T3" s="88"/>
    </row>
    <row r="4" spans="1:20" x14ac:dyDescent="0.2">
      <c r="A4" s="285">
        <v>3</v>
      </c>
      <c r="B4" s="248" t="s">
        <v>587</v>
      </c>
      <c r="C4" s="249" t="s">
        <v>523</v>
      </c>
      <c r="D4" s="250">
        <f>'CORTES '!R15</f>
        <v>20300.5</v>
      </c>
      <c r="E4" s="86">
        <f t="shared" si="0"/>
        <v>0.34257093750000001</v>
      </c>
      <c r="F4" s="250">
        <v>0</v>
      </c>
      <c r="G4" s="250">
        <f t="shared" si="5"/>
        <v>20300.5</v>
      </c>
      <c r="H4" s="86">
        <f t="shared" si="1"/>
        <v>0.34257093750000001</v>
      </c>
      <c r="I4" s="250">
        <f t="shared" si="6"/>
        <v>20300.842570937501</v>
      </c>
      <c r="J4" s="250">
        <f>'CORTES '!R16</f>
        <v>64000</v>
      </c>
      <c r="K4" s="250">
        <f t="shared" si="7"/>
        <v>59259.259259259255</v>
      </c>
      <c r="L4" s="308">
        <f t="shared" si="2"/>
        <v>64000</v>
      </c>
      <c r="M4" s="250">
        <v>0</v>
      </c>
      <c r="N4" s="86">
        <f t="shared" si="3"/>
        <v>0</v>
      </c>
      <c r="O4" s="250">
        <v>0</v>
      </c>
      <c r="P4" s="86">
        <f t="shared" si="4"/>
        <v>0</v>
      </c>
      <c r="Q4" s="308" t="e">
        <f>#REF!</f>
        <v>#REF!</v>
      </c>
      <c r="R4" s="347">
        <v>0</v>
      </c>
      <c r="T4" s="88"/>
    </row>
    <row r="5" spans="1:20" x14ac:dyDescent="0.2">
      <c r="A5" s="285">
        <v>4</v>
      </c>
      <c r="B5" s="248" t="s">
        <v>223</v>
      </c>
      <c r="C5" s="251" t="s">
        <v>200</v>
      </c>
      <c r="D5" s="250">
        <f>'PICADA MALAGANA'!G27</f>
        <v>31377.114999999998</v>
      </c>
      <c r="E5" s="86">
        <f t="shared" si="0"/>
        <v>0.24205203</v>
      </c>
      <c r="F5" s="250">
        <v>0</v>
      </c>
      <c r="G5" s="250">
        <f>+D5+F5</f>
        <v>31377.114999999998</v>
      </c>
      <c r="H5" s="86">
        <f t="shared" si="1"/>
        <v>0.24205203</v>
      </c>
      <c r="I5" s="250">
        <f t="shared" si="6"/>
        <v>31377.357052029998</v>
      </c>
      <c r="J5" s="250">
        <f>'PICADA MALAGANA'!G34</f>
        <v>140000</v>
      </c>
      <c r="K5" s="250">
        <f t="shared" si="7"/>
        <v>129629.62962962962</v>
      </c>
      <c r="L5" s="308">
        <f t="shared" si="2"/>
        <v>140000</v>
      </c>
      <c r="M5" s="250">
        <v>0</v>
      </c>
      <c r="N5" s="86">
        <f t="shared" si="3"/>
        <v>0</v>
      </c>
      <c r="O5" s="250">
        <v>0</v>
      </c>
      <c r="P5" s="86">
        <f t="shared" si="4"/>
        <v>0</v>
      </c>
      <c r="Q5" s="308" t="e">
        <f>#REF!</f>
        <v>#REF!</v>
      </c>
      <c r="R5" s="347">
        <v>0</v>
      </c>
      <c r="T5" s="88"/>
    </row>
    <row r="6" spans="1:20" x14ac:dyDescent="0.2">
      <c r="A6" s="285">
        <v>5</v>
      </c>
      <c r="B6" s="248" t="s">
        <v>223</v>
      </c>
      <c r="C6" s="251" t="s">
        <v>201</v>
      </c>
      <c r="D6" s="250">
        <f>'PICADA MALAGANA'!G60</f>
        <v>18306.364999999998</v>
      </c>
      <c r="E6" s="86">
        <f t="shared" si="0"/>
        <v>0.23259852</v>
      </c>
      <c r="F6" s="250">
        <v>0</v>
      </c>
      <c r="G6" s="250">
        <f t="shared" si="5"/>
        <v>18306.364999999998</v>
      </c>
      <c r="H6" s="86">
        <f t="shared" si="1"/>
        <v>0.23259852</v>
      </c>
      <c r="I6" s="250">
        <f t="shared" si="6"/>
        <v>18306.597598519998</v>
      </c>
      <c r="J6" s="250">
        <f>'PICADA MALAGANA'!G66</f>
        <v>85000</v>
      </c>
      <c r="K6" s="250">
        <f t="shared" si="7"/>
        <v>78703.703703703693</v>
      </c>
      <c r="L6" s="308">
        <f t="shared" si="2"/>
        <v>85000</v>
      </c>
      <c r="M6" s="250">
        <v>0</v>
      </c>
      <c r="N6" s="86">
        <f t="shared" si="3"/>
        <v>0</v>
      </c>
      <c r="O6" s="250">
        <v>0</v>
      </c>
      <c r="P6" s="86">
        <f t="shared" si="4"/>
        <v>0</v>
      </c>
      <c r="Q6" s="308" t="e">
        <f>#REF!</f>
        <v>#REF!</v>
      </c>
      <c r="R6" s="347">
        <v>0</v>
      </c>
      <c r="T6" s="88"/>
    </row>
    <row r="7" spans="1:20" x14ac:dyDescent="0.2">
      <c r="A7" s="285">
        <v>6</v>
      </c>
      <c r="B7" s="248" t="s">
        <v>225</v>
      </c>
      <c r="C7" s="251" t="s">
        <v>226</v>
      </c>
      <c r="D7" s="250">
        <f>'ENTRADAS (2)'!L20</f>
        <v>8443.93</v>
      </c>
      <c r="E7" s="86">
        <f t="shared" si="0"/>
        <v>0.36477777600000005</v>
      </c>
      <c r="F7" s="250">
        <v>0</v>
      </c>
      <c r="G7" s="250">
        <f t="shared" si="5"/>
        <v>8443.93</v>
      </c>
      <c r="H7" s="86">
        <f t="shared" si="1"/>
        <v>0.36477777600000005</v>
      </c>
      <c r="I7" s="250">
        <f t="shared" si="6"/>
        <v>8444.294777776</v>
      </c>
      <c r="J7" s="250">
        <f>'ENTRADAS (2)'!L21</f>
        <v>25000</v>
      </c>
      <c r="K7" s="250">
        <f t="shared" si="7"/>
        <v>23148.148148148146</v>
      </c>
      <c r="L7" s="308">
        <f t="shared" si="2"/>
        <v>25000</v>
      </c>
      <c r="M7" s="250">
        <v>0</v>
      </c>
      <c r="N7" s="86">
        <f t="shared" si="3"/>
        <v>0</v>
      </c>
      <c r="O7" s="250">
        <v>0</v>
      </c>
      <c r="P7" s="86">
        <f t="shared" si="4"/>
        <v>0</v>
      </c>
      <c r="Q7" s="308" t="e">
        <f>#REF!</f>
        <v>#REF!</v>
      </c>
      <c r="R7" s="347">
        <v>0</v>
      </c>
      <c r="T7" s="88"/>
    </row>
    <row r="8" spans="1:20" x14ac:dyDescent="0.2">
      <c r="A8" s="285">
        <v>7</v>
      </c>
      <c r="B8" s="248" t="s">
        <v>225</v>
      </c>
      <c r="C8" s="272" t="s">
        <v>555</v>
      </c>
      <c r="D8" s="250">
        <f>'ENTRADAS (2)'!R20</f>
        <v>2423.3330000000001</v>
      </c>
      <c r="E8" s="86">
        <f t="shared" si="0"/>
        <v>0.40264609846153848</v>
      </c>
      <c r="F8" s="250">
        <v>0</v>
      </c>
      <c r="G8" s="250">
        <f t="shared" ref="G8" si="8">+D8+F8</f>
        <v>2423.3330000000001</v>
      </c>
      <c r="H8" s="86">
        <f t="shared" si="1"/>
        <v>0.40264609846153848</v>
      </c>
      <c r="I8" s="250">
        <f t="shared" ref="I8" si="9">+D8+F8+H8</f>
        <v>2423.7356460984615</v>
      </c>
      <c r="J8" s="250">
        <f>'ENTRADAS (2)'!R21</f>
        <v>6500</v>
      </c>
      <c r="K8" s="250">
        <f t="shared" ref="K8" si="10">+J8/1.08</f>
        <v>6018.5185185185182</v>
      </c>
      <c r="L8" s="308">
        <f t="shared" si="2"/>
        <v>6500</v>
      </c>
      <c r="M8" s="250">
        <v>0</v>
      </c>
      <c r="N8" s="86">
        <f t="shared" si="3"/>
        <v>0</v>
      </c>
      <c r="O8" s="250">
        <v>0</v>
      </c>
      <c r="P8" s="86">
        <f t="shared" si="4"/>
        <v>0</v>
      </c>
      <c r="Q8" s="308" t="e">
        <f>#REF!</f>
        <v>#REF!</v>
      </c>
      <c r="R8" s="347">
        <v>0</v>
      </c>
      <c r="T8" s="88"/>
    </row>
    <row r="9" spans="1:20" x14ac:dyDescent="0.2">
      <c r="A9" s="285">
        <v>8</v>
      </c>
      <c r="B9" s="248" t="s">
        <v>225</v>
      </c>
      <c r="C9" s="272" t="s">
        <v>559</v>
      </c>
      <c r="D9" s="250">
        <f>'ENTRADAS (2)'!F20</f>
        <v>6600</v>
      </c>
      <c r="E9" s="86">
        <f t="shared" si="0"/>
        <v>0.28512000000000004</v>
      </c>
      <c r="F9" s="250">
        <v>0</v>
      </c>
      <c r="G9" s="250">
        <f t="shared" ref="G9" si="11">+D9+F9</f>
        <v>6600</v>
      </c>
      <c r="H9" s="86">
        <f t="shared" si="1"/>
        <v>0.28512000000000004</v>
      </c>
      <c r="I9" s="250">
        <f t="shared" ref="I9" si="12">+D9+F9+H9</f>
        <v>6600.2851199999996</v>
      </c>
      <c r="J9" s="250">
        <f>'ENTRADAS (2)'!F21</f>
        <v>25000</v>
      </c>
      <c r="K9" s="250">
        <f t="shared" ref="K9" si="13">+J9/1.08</f>
        <v>23148.148148148146</v>
      </c>
      <c r="L9" s="308">
        <f t="shared" si="2"/>
        <v>25000</v>
      </c>
      <c r="M9" s="250">
        <v>0</v>
      </c>
      <c r="N9" s="86">
        <f t="shared" si="3"/>
        <v>0</v>
      </c>
      <c r="O9" s="250">
        <v>0</v>
      </c>
      <c r="P9" s="86">
        <f t="shared" si="4"/>
        <v>0</v>
      </c>
      <c r="Q9" s="308" t="e">
        <f>#REF!</f>
        <v>#REF!</v>
      </c>
      <c r="R9" s="347">
        <v>0</v>
      </c>
      <c r="T9" s="88"/>
    </row>
    <row r="10" spans="1:20" x14ac:dyDescent="0.2">
      <c r="A10" s="285">
        <v>9</v>
      </c>
      <c r="B10" s="248" t="s">
        <v>225</v>
      </c>
      <c r="C10" s="272" t="s">
        <v>566</v>
      </c>
      <c r="D10" s="250">
        <f>'ENTRADAS (2)'!X20</f>
        <v>5704.6</v>
      </c>
      <c r="E10" s="86">
        <f t="shared" si="0"/>
        <v>0.16651264864864868</v>
      </c>
      <c r="F10" s="250">
        <v>0</v>
      </c>
      <c r="G10" s="250">
        <f t="shared" ref="G10" si="14">+D10+F10</f>
        <v>5704.6</v>
      </c>
      <c r="H10" s="86">
        <f t="shared" si="1"/>
        <v>0.16651264864864868</v>
      </c>
      <c r="I10" s="250">
        <f t="shared" ref="I10" si="15">+D10+F10+H10</f>
        <v>5704.766512648649</v>
      </c>
      <c r="J10" s="250">
        <f>'ENTRADAS (2)'!X21</f>
        <v>37000</v>
      </c>
      <c r="K10" s="250">
        <f t="shared" ref="K10" si="16">+J10/1.08</f>
        <v>34259.259259259255</v>
      </c>
      <c r="L10" s="308">
        <f t="shared" si="2"/>
        <v>37000</v>
      </c>
      <c r="M10" s="250">
        <v>0</v>
      </c>
      <c r="N10" s="86">
        <f t="shared" si="3"/>
        <v>0</v>
      </c>
      <c r="O10" s="250">
        <v>0</v>
      </c>
      <c r="P10" s="86">
        <f t="shared" si="4"/>
        <v>0</v>
      </c>
      <c r="Q10" s="308" t="e">
        <f>#REF!</f>
        <v>#REF!</v>
      </c>
      <c r="R10" s="347">
        <v>0</v>
      </c>
      <c r="T10" s="88"/>
    </row>
    <row r="11" spans="1:20" x14ac:dyDescent="0.2">
      <c r="A11" s="285">
        <v>10</v>
      </c>
      <c r="B11" s="248" t="s">
        <v>225</v>
      </c>
      <c r="C11" s="272" t="s">
        <v>567</v>
      </c>
      <c r="D11" s="250">
        <f>'ENTRADAS (2)'!F42</f>
        <v>2939.2</v>
      </c>
      <c r="E11" s="86">
        <f t="shared" si="0"/>
        <v>0.10581119999999999</v>
      </c>
      <c r="F11" s="250">
        <v>0</v>
      </c>
      <c r="G11" s="250">
        <f t="shared" ref="G11" si="17">+D11+F11</f>
        <v>2939.2</v>
      </c>
      <c r="H11" s="86">
        <f t="shared" si="1"/>
        <v>0.10581119999999999</v>
      </c>
      <c r="I11" s="250">
        <f t="shared" ref="I11" si="18">+D11+F11+H11</f>
        <v>2939.3058111999999</v>
      </c>
      <c r="J11" s="250">
        <f>'ENTRADAS (2)'!F43</f>
        <v>30000</v>
      </c>
      <c r="K11" s="250">
        <f t="shared" ref="K11" si="19">+J11/1.08</f>
        <v>27777.777777777777</v>
      </c>
      <c r="L11" s="308">
        <f t="shared" si="2"/>
        <v>30000</v>
      </c>
      <c r="M11" s="250">
        <v>0</v>
      </c>
      <c r="N11" s="86">
        <f t="shared" si="3"/>
        <v>0</v>
      </c>
      <c r="O11" s="250">
        <v>0</v>
      </c>
      <c r="P11" s="86">
        <f t="shared" si="4"/>
        <v>0</v>
      </c>
      <c r="Q11" s="308" t="e">
        <f>#REF!</f>
        <v>#REF!</v>
      </c>
      <c r="R11" s="347">
        <v>0</v>
      </c>
      <c r="T11" s="88"/>
    </row>
    <row r="12" spans="1:20" x14ac:dyDescent="0.2">
      <c r="A12" s="285">
        <v>11</v>
      </c>
      <c r="B12" s="248" t="s">
        <v>228</v>
      </c>
      <c r="C12" s="251" t="s">
        <v>423</v>
      </c>
      <c r="D12" s="250">
        <f>'ALMUERZOS Y CREMAS '!AD21</f>
        <v>12276.869999999999</v>
      </c>
      <c r="E12" s="86">
        <f>D12/K12</f>
        <v>0.51193125868725875</v>
      </c>
      <c r="F12" s="250">
        <f>'ALMUERZOS Y CREMAS '!AD19</f>
        <v>1740</v>
      </c>
      <c r="G12" s="250">
        <f>+D12+F12</f>
        <v>14016.869999999999</v>
      </c>
      <c r="H12" s="86">
        <f>G12/K12</f>
        <v>0.5844872432432433</v>
      </c>
      <c r="I12" s="250">
        <f t="shared" ref="I12:I39" si="20">+D12+F12+H12</f>
        <v>14017.454487243242</v>
      </c>
      <c r="J12" s="250">
        <f>'ALMUERZOS Y CREMAS '!AD24</f>
        <v>25900</v>
      </c>
      <c r="K12" s="250">
        <f>+J12/1.08</f>
        <v>23981.481481481478</v>
      </c>
      <c r="L12" s="308">
        <f>J12</f>
        <v>25900</v>
      </c>
      <c r="M12" s="250">
        <f>K12-D12</f>
        <v>11704.611481481479</v>
      </c>
      <c r="N12" s="86">
        <f>M12/K12</f>
        <v>0.48806874131274131</v>
      </c>
      <c r="O12" s="250">
        <f>K12-G12</f>
        <v>9964.6114814814791</v>
      </c>
      <c r="P12" s="86">
        <f>O12/K12</f>
        <v>0.4155127567567567</v>
      </c>
      <c r="Q12" s="308" t="e">
        <f>#REF!</f>
        <v>#REF!</v>
      </c>
      <c r="R12" s="347">
        <v>0</v>
      </c>
      <c r="T12" s="88"/>
    </row>
    <row r="13" spans="1:20" x14ac:dyDescent="0.2">
      <c r="A13" s="285">
        <v>12</v>
      </c>
      <c r="B13" s="248" t="s">
        <v>228</v>
      </c>
      <c r="C13" s="251" t="s">
        <v>424</v>
      </c>
      <c r="D13" s="250">
        <f>'ALMUERZOS Y CREMAS '!X22</f>
        <v>13935.74</v>
      </c>
      <c r="E13" s="86">
        <f t="shared" si="0"/>
        <v>0.53944800000000004</v>
      </c>
      <c r="F13" s="250">
        <f>'ALMUERZOS Y CREMAS '!X20</f>
        <v>1740</v>
      </c>
      <c r="G13" s="250">
        <f t="shared" ref="G13:G26" si="21">+D13+F13</f>
        <v>15675.74</v>
      </c>
      <c r="H13" s="86">
        <f t="shared" si="1"/>
        <v>0.60680283870967744</v>
      </c>
      <c r="I13" s="250">
        <f t="shared" ref="I13:I18" si="22">+D13+F13+H13</f>
        <v>15676.346802838709</v>
      </c>
      <c r="J13" s="250">
        <f>'ALMUERZOS Y CREMAS '!X25</f>
        <v>27900</v>
      </c>
      <c r="K13" s="250">
        <f t="shared" ref="K13:K30" si="23">+J13/1.08</f>
        <v>25833.333333333332</v>
      </c>
      <c r="L13" s="308">
        <f t="shared" si="2"/>
        <v>27900</v>
      </c>
      <c r="M13" s="250">
        <f>K13-D13</f>
        <v>11897.593333333332</v>
      </c>
      <c r="N13" s="86">
        <f>M13/K13</f>
        <v>0.46055199999999996</v>
      </c>
      <c r="O13" s="250">
        <f>K13-G13</f>
        <v>10157.593333333332</v>
      </c>
      <c r="P13" s="86">
        <f>O13/K13</f>
        <v>0.39319716129032256</v>
      </c>
      <c r="Q13" s="308" t="e">
        <f>#REF!</f>
        <v>#REF!</v>
      </c>
      <c r="R13" s="347">
        <v>0</v>
      </c>
      <c r="T13" s="88"/>
    </row>
    <row r="14" spans="1:20" x14ac:dyDescent="0.2">
      <c r="A14" s="285">
        <v>13</v>
      </c>
      <c r="B14" s="248" t="s">
        <v>228</v>
      </c>
      <c r="C14" s="251" t="s">
        <v>425</v>
      </c>
      <c r="D14" s="250">
        <f>'ALMUERZOS Y CREMAS '!R22</f>
        <v>14558.47</v>
      </c>
      <c r="E14" s="86">
        <f t="shared" si="0"/>
        <v>0.5635536774193548</v>
      </c>
      <c r="F14" s="250">
        <f>'ALMUERZOS Y CREMAS '!R20</f>
        <v>1740</v>
      </c>
      <c r="G14" s="250">
        <f t="shared" si="21"/>
        <v>16298.47</v>
      </c>
      <c r="H14" s="86">
        <f t="shared" si="1"/>
        <v>0.63090851612903232</v>
      </c>
      <c r="I14" s="250">
        <f t="shared" si="22"/>
        <v>16299.100908516128</v>
      </c>
      <c r="J14" s="250">
        <f>'ALMUERZOS Y CREMAS '!R25</f>
        <v>27900</v>
      </c>
      <c r="K14" s="250">
        <f t="shared" si="23"/>
        <v>25833.333333333332</v>
      </c>
      <c r="L14" s="308">
        <f t="shared" si="2"/>
        <v>27900</v>
      </c>
      <c r="M14" s="250">
        <f>K14-D14</f>
        <v>11274.863333333333</v>
      </c>
      <c r="N14" s="86">
        <f>M14/K14</f>
        <v>0.43644632258064514</v>
      </c>
      <c r="O14" s="250">
        <f>K14-G14</f>
        <v>9534.8633333333328</v>
      </c>
      <c r="P14" s="86">
        <f>O14/K14</f>
        <v>0.36909148387096774</v>
      </c>
      <c r="Q14" s="308" t="e">
        <f>#REF!</f>
        <v>#REF!</v>
      </c>
      <c r="R14" s="347">
        <v>0</v>
      </c>
      <c r="T14" s="88"/>
    </row>
    <row r="15" spans="1:20" x14ac:dyDescent="0.2">
      <c r="A15" s="285">
        <v>14</v>
      </c>
      <c r="B15" s="248" t="s">
        <v>228</v>
      </c>
      <c r="C15" s="251" t="s">
        <v>426</v>
      </c>
      <c r="D15" s="250">
        <f>'ALMUERZOS Y CREMAS '!L21</f>
        <v>12884.34</v>
      </c>
      <c r="E15" s="86">
        <f t="shared" si="0"/>
        <v>0.55883884337349399</v>
      </c>
      <c r="F15" s="250">
        <f>'ALMUERZOS Y CREMAS '!L19</f>
        <v>1740</v>
      </c>
      <c r="G15" s="250">
        <f t="shared" si="21"/>
        <v>14624.34</v>
      </c>
      <c r="H15" s="86">
        <f t="shared" si="1"/>
        <v>0.63430872289156626</v>
      </c>
      <c r="I15" s="250">
        <f t="shared" si="22"/>
        <v>14624.974308722893</v>
      </c>
      <c r="J15" s="250">
        <f>'ALMUERZOS Y CREMAS '!L24</f>
        <v>24900</v>
      </c>
      <c r="K15" s="250">
        <f t="shared" si="23"/>
        <v>23055.555555555555</v>
      </c>
      <c r="L15" s="308">
        <f t="shared" si="2"/>
        <v>24900</v>
      </c>
      <c r="M15" s="250">
        <f>K15-D15</f>
        <v>10171.215555555555</v>
      </c>
      <c r="N15" s="86">
        <f>M15/K15</f>
        <v>0.44116115662650601</v>
      </c>
      <c r="O15" s="250">
        <f>K15-G15</f>
        <v>8431.2155555555546</v>
      </c>
      <c r="P15" s="86">
        <f>O15/K15</f>
        <v>0.36569127710843369</v>
      </c>
      <c r="Q15" s="308" t="e">
        <f>#REF!</f>
        <v>#REF!</v>
      </c>
      <c r="R15" s="347">
        <v>0</v>
      </c>
      <c r="T15" s="88"/>
    </row>
    <row r="16" spans="1:20" x14ac:dyDescent="0.2">
      <c r="A16" s="285">
        <v>15</v>
      </c>
      <c r="B16" s="248" t="s">
        <v>228</v>
      </c>
      <c r="C16" s="251" t="s">
        <v>230</v>
      </c>
      <c r="D16" s="250">
        <f>'ALMUERZOS Y CREMAS '!F22</f>
        <v>14659.470000000001</v>
      </c>
      <c r="E16" s="86">
        <f t="shared" si="0"/>
        <v>0.5674633548387098</v>
      </c>
      <c r="F16" s="250">
        <f>'ALMUERZOS Y CREMAS '!F20</f>
        <v>1740</v>
      </c>
      <c r="G16" s="250">
        <f t="shared" si="21"/>
        <v>16399.47</v>
      </c>
      <c r="H16" s="86">
        <f t="shared" si="1"/>
        <v>0.6348181935483872</v>
      </c>
      <c r="I16" s="250">
        <f t="shared" si="22"/>
        <v>16400.104818193551</v>
      </c>
      <c r="J16" s="250">
        <f>'ALMUERZOS Y CREMAS '!F25</f>
        <v>27900</v>
      </c>
      <c r="K16" s="250">
        <f t="shared" si="23"/>
        <v>25833.333333333332</v>
      </c>
      <c r="L16" s="308">
        <f t="shared" si="2"/>
        <v>27900</v>
      </c>
      <c r="M16" s="250">
        <f>K16-D16</f>
        <v>11173.863333333331</v>
      </c>
      <c r="N16" s="86">
        <f>M16/K16</f>
        <v>0.43253664516129026</v>
      </c>
      <c r="O16" s="250">
        <f>K16-G16</f>
        <v>9433.863333333331</v>
      </c>
      <c r="P16" s="86">
        <f>O16/K16</f>
        <v>0.36518180645161286</v>
      </c>
      <c r="Q16" s="308" t="e">
        <f>#REF!</f>
        <v>#REF!</v>
      </c>
      <c r="R16" s="347">
        <v>0</v>
      </c>
      <c r="T16" s="88"/>
    </row>
    <row r="17" spans="1:20" x14ac:dyDescent="0.2">
      <c r="A17" s="285">
        <v>16</v>
      </c>
      <c r="B17" s="248" t="s">
        <v>228</v>
      </c>
      <c r="C17" s="251"/>
      <c r="D17" s="250" t="e">
        <f>#REF!</f>
        <v>#REF!</v>
      </c>
      <c r="E17" s="86" t="e">
        <f t="shared" si="0"/>
        <v>#REF!</v>
      </c>
      <c r="F17" s="250">
        <v>0</v>
      </c>
      <c r="G17" s="250" t="e">
        <f t="shared" si="21"/>
        <v>#REF!</v>
      </c>
      <c r="H17" s="86" t="e">
        <f t="shared" si="1"/>
        <v>#REF!</v>
      </c>
      <c r="I17" s="250" t="e">
        <f t="shared" si="22"/>
        <v>#REF!</v>
      </c>
      <c r="J17" s="250" t="e">
        <f>#REF!</f>
        <v>#REF!</v>
      </c>
      <c r="K17" s="250" t="e">
        <f t="shared" si="23"/>
        <v>#REF!</v>
      </c>
      <c r="L17" s="308" t="e">
        <f t="shared" si="2"/>
        <v>#REF!</v>
      </c>
      <c r="M17" s="250">
        <v>0</v>
      </c>
      <c r="N17" s="86" t="e">
        <f t="shared" ref="N17" si="24">M17/K17</f>
        <v>#REF!</v>
      </c>
      <c r="O17" s="250">
        <v>0</v>
      </c>
      <c r="P17" s="86" t="e">
        <f t="shared" ref="P17" si="25">O17/K17</f>
        <v>#REF!</v>
      </c>
      <c r="Q17" s="308" t="e">
        <f>#REF!</f>
        <v>#REF!</v>
      </c>
      <c r="R17" s="347">
        <v>0</v>
      </c>
      <c r="T17" s="88"/>
    </row>
    <row r="18" spans="1:20" x14ac:dyDescent="0.2">
      <c r="A18" s="285">
        <v>17</v>
      </c>
      <c r="B18" s="252" t="s">
        <v>360</v>
      </c>
      <c r="C18" s="249" t="s">
        <v>350</v>
      </c>
      <c r="D18" s="250">
        <f>PIZZAS!R17</f>
        <v>12799.6</v>
      </c>
      <c r="E18" s="86">
        <f t="shared" si="0"/>
        <v>0.46078560000000002</v>
      </c>
      <c r="F18" s="250">
        <v>0</v>
      </c>
      <c r="G18" s="250">
        <f t="shared" si="21"/>
        <v>12799.6</v>
      </c>
      <c r="H18" s="86">
        <f t="shared" si="1"/>
        <v>0.46078560000000002</v>
      </c>
      <c r="I18" s="250">
        <f t="shared" si="22"/>
        <v>12800.060785600001</v>
      </c>
      <c r="J18" s="250">
        <f>PIZZAS!R18</f>
        <v>30000</v>
      </c>
      <c r="K18" s="250">
        <f t="shared" si="23"/>
        <v>27777.777777777777</v>
      </c>
      <c r="L18" s="308">
        <f t="shared" si="2"/>
        <v>30000</v>
      </c>
      <c r="M18" s="250">
        <f>K18-D18</f>
        <v>14978.177777777777</v>
      </c>
      <c r="N18" s="86">
        <f>M18/K18</f>
        <v>0.53921439999999998</v>
      </c>
      <c r="O18" s="250">
        <f>K18-G18</f>
        <v>14978.177777777777</v>
      </c>
      <c r="P18" s="86">
        <f>O18/K18</f>
        <v>0.53921439999999998</v>
      </c>
      <c r="Q18" s="308" t="e">
        <f>#REF!</f>
        <v>#REF!</v>
      </c>
      <c r="R18" s="347">
        <v>0</v>
      </c>
      <c r="T18" s="88"/>
    </row>
    <row r="19" spans="1:20" x14ac:dyDescent="0.2">
      <c r="A19" s="285">
        <v>18</v>
      </c>
      <c r="B19" s="252" t="s">
        <v>360</v>
      </c>
      <c r="C19" s="249" t="s">
        <v>515</v>
      </c>
      <c r="D19" s="250">
        <f>PIZZAS!X17</f>
        <v>15083.64</v>
      </c>
      <c r="E19" s="86">
        <f t="shared" si="0"/>
        <v>0.50907285000000002</v>
      </c>
      <c r="F19" s="250">
        <v>0</v>
      </c>
      <c r="G19" s="250">
        <f t="shared" si="21"/>
        <v>15083.64</v>
      </c>
      <c r="H19" s="86">
        <f t="shared" si="1"/>
        <v>0.50907285000000002</v>
      </c>
      <c r="I19" s="250"/>
      <c r="J19" s="250">
        <f>PIZZAS!X18</f>
        <v>32000</v>
      </c>
      <c r="K19" s="250">
        <f t="shared" si="23"/>
        <v>29629.629629629628</v>
      </c>
      <c r="L19" s="308">
        <f t="shared" si="2"/>
        <v>32000</v>
      </c>
      <c r="M19" s="250">
        <f t="shared" ref="M19:M30" si="26">K19-D19</f>
        <v>14545.989629629628</v>
      </c>
      <c r="N19" s="86">
        <f t="shared" ref="N19:N30" si="27">M19/K19</f>
        <v>0.49092714999999998</v>
      </c>
      <c r="O19" s="250">
        <f t="shared" ref="O19:O30" si="28">K19-G19</f>
        <v>14545.989629629628</v>
      </c>
      <c r="P19" s="86">
        <f t="shared" ref="P19:P30" si="29">O19/K19</f>
        <v>0.49092714999999998</v>
      </c>
      <c r="Q19" s="308" t="e">
        <f>#REF!</f>
        <v>#REF!</v>
      </c>
      <c r="R19" s="347">
        <v>0</v>
      </c>
      <c r="T19" s="88"/>
    </row>
    <row r="20" spans="1:20" x14ac:dyDescent="0.2">
      <c r="A20" s="285">
        <v>19</v>
      </c>
      <c r="B20" s="252" t="s">
        <v>360</v>
      </c>
      <c r="C20" s="249" t="s">
        <v>516</v>
      </c>
      <c r="D20" s="250">
        <f>PIZZAS!AD17</f>
        <v>20785.830999999998</v>
      </c>
      <c r="E20" s="86">
        <f t="shared" si="0"/>
        <v>0.56121743699999993</v>
      </c>
      <c r="F20" s="250">
        <v>0</v>
      </c>
      <c r="G20" s="250">
        <f t="shared" si="21"/>
        <v>20785.830999999998</v>
      </c>
      <c r="H20" s="86">
        <f t="shared" si="1"/>
        <v>0.56121743699999993</v>
      </c>
      <c r="I20" s="250"/>
      <c r="J20" s="250">
        <v>40000</v>
      </c>
      <c r="K20" s="250">
        <f t="shared" si="23"/>
        <v>37037.037037037036</v>
      </c>
      <c r="L20" s="308">
        <f t="shared" si="2"/>
        <v>40000</v>
      </c>
      <c r="M20" s="250">
        <f t="shared" si="26"/>
        <v>16251.206037037038</v>
      </c>
      <c r="N20" s="86">
        <f t="shared" si="27"/>
        <v>0.43878256300000001</v>
      </c>
      <c r="O20" s="250">
        <f t="shared" si="28"/>
        <v>16251.206037037038</v>
      </c>
      <c r="P20" s="86">
        <f t="shared" si="29"/>
        <v>0.43878256300000001</v>
      </c>
      <c r="Q20" s="308" t="e">
        <f>#REF!</f>
        <v>#REF!</v>
      </c>
      <c r="R20" s="347">
        <v>0</v>
      </c>
      <c r="T20" s="88"/>
    </row>
    <row r="21" spans="1:20" x14ac:dyDescent="0.2">
      <c r="A21" s="285">
        <v>20</v>
      </c>
      <c r="B21" s="252" t="s">
        <v>360</v>
      </c>
      <c r="C21" s="249" t="s">
        <v>361</v>
      </c>
      <c r="D21" s="250">
        <f>PIZZAS!L17</f>
        <v>9971.5</v>
      </c>
      <c r="E21" s="86">
        <f t="shared" si="0"/>
        <v>0.28340052631578949</v>
      </c>
      <c r="F21" s="250">
        <f>PIZZAS!L13</f>
        <v>1800</v>
      </c>
      <c r="G21" s="250">
        <f t="shared" si="21"/>
        <v>11771.5</v>
      </c>
      <c r="H21" s="86">
        <f t="shared" si="1"/>
        <v>0.33455842105263162</v>
      </c>
      <c r="I21" s="250">
        <f>+D21+F21+H21</f>
        <v>11771.834558421053</v>
      </c>
      <c r="J21" s="250">
        <f>PIZZAS!L18</f>
        <v>38000</v>
      </c>
      <c r="K21" s="250">
        <f t="shared" si="23"/>
        <v>35185.185185185182</v>
      </c>
      <c r="L21" s="308">
        <f t="shared" si="2"/>
        <v>38000</v>
      </c>
      <c r="M21" s="250">
        <f t="shared" si="26"/>
        <v>25213.685185185182</v>
      </c>
      <c r="N21" s="86">
        <f t="shared" si="27"/>
        <v>0.71659947368421051</v>
      </c>
      <c r="O21" s="250">
        <f t="shared" si="28"/>
        <v>23413.685185185182</v>
      </c>
      <c r="P21" s="86">
        <f t="shared" si="29"/>
        <v>0.66544157894736844</v>
      </c>
      <c r="Q21" s="308" t="e">
        <f>#REF!</f>
        <v>#REF!</v>
      </c>
      <c r="R21" s="347">
        <v>0</v>
      </c>
      <c r="T21" s="88"/>
    </row>
    <row r="22" spans="1:20" x14ac:dyDescent="0.2">
      <c r="A22" s="285">
        <v>21</v>
      </c>
      <c r="B22" s="271" t="s">
        <v>529</v>
      </c>
      <c r="C22" s="272" t="s">
        <v>531</v>
      </c>
      <c r="D22" s="250">
        <f>PASTAS!F20</f>
        <v>5161.4970000000003</v>
      </c>
      <c r="E22" s="86">
        <f t="shared" si="0"/>
        <v>0.18581389200000001</v>
      </c>
      <c r="F22" s="250">
        <v>0</v>
      </c>
      <c r="G22" s="250">
        <f t="shared" si="21"/>
        <v>5161.4970000000003</v>
      </c>
      <c r="H22" s="86">
        <f t="shared" si="1"/>
        <v>0.18581389200000001</v>
      </c>
      <c r="I22" s="250"/>
      <c r="J22" s="250">
        <f>PASTAS!F21</f>
        <v>30000</v>
      </c>
      <c r="K22" s="250">
        <f t="shared" si="23"/>
        <v>27777.777777777777</v>
      </c>
      <c r="L22" s="308">
        <f t="shared" si="2"/>
        <v>30000</v>
      </c>
      <c r="M22" s="250">
        <f t="shared" si="26"/>
        <v>22616.280777777778</v>
      </c>
      <c r="N22" s="86">
        <f t="shared" si="27"/>
        <v>0.81418610800000002</v>
      </c>
      <c r="O22" s="250">
        <f t="shared" si="28"/>
        <v>22616.280777777778</v>
      </c>
      <c r="P22" s="86">
        <f t="shared" si="29"/>
        <v>0.81418610800000002</v>
      </c>
      <c r="Q22" s="308" t="e">
        <f>#REF!</f>
        <v>#REF!</v>
      </c>
      <c r="R22" s="347">
        <v>0</v>
      </c>
      <c r="T22" s="88"/>
    </row>
    <row r="23" spans="1:20" x14ac:dyDescent="0.2">
      <c r="A23" s="285">
        <v>22</v>
      </c>
      <c r="B23" s="271" t="s">
        <v>529</v>
      </c>
      <c r="C23" s="272" t="s">
        <v>532</v>
      </c>
      <c r="D23" s="250">
        <f>PASTAS!L20</f>
        <v>3912.9970000000003</v>
      </c>
      <c r="E23" s="86">
        <f t="shared" si="0"/>
        <v>0.1509298842857143</v>
      </c>
      <c r="F23" s="250">
        <v>0</v>
      </c>
      <c r="G23" s="250">
        <f t="shared" si="21"/>
        <v>3912.9970000000003</v>
      </c>
      <c r="H23" s="86">
        <f t="shared" si="1"/>
        <v>0.1509298842857143</v>
      </c>
      <c r="I23" s="250"/>
      <c r="J23" s="250">
        <f>PASTAS!L21</f>
        <v>28000</v>
      </c>
      <c r="K23" s="250">
        <f t="shared" si="23"/>
        <v>25925.925925925923</v>
      </c>
      <c r="L23" s="308">
        <f t="shared" si="2"/>
        <v>28000</v>
      </c>
      <c r="M23" s="250">
        <f t="shared" si="26"/>
        <v>22012.928925925924</v>
      </c>
      <c r="N23" s="86">
        <f t="shared" si="27"/>
        <v>0.8490701157142857</v>
      </c>
      <c r="O23" s="250">
        <f t="shared" si="28"/>
        <v>22012.928925925924</v>
      </c>
      <c r="P23" s="86">
        <f t="shared" si="29"/>
        <v>0.8490701157142857</v>
      </c>
      <c r="Q23" s="308" t="e">
        <f>#REF!</f>
        <v>#REF!</v>
      </c>
      <c r="R23" s="347">
        <v>0</v>
      </c>
      <c r="T23" s="88"/>
    </row>
    <row r="24" spans="1:20" x14ac:dyDescent="0.2">
      <c r="A24" s="285">
        <v>23</v>
      </c>
      <c r="B24" s="271" t="s">
        <v>529</v>
      </c>
      <c r="C24" s="272" t="s">
        <v>533</v>
      </c>
      <c r="D24" s="250">
        <f>PASTAS!R20</f>
        <v>4544.7049999999999</v>
      </c>
      <c r="E24" s="86">
        <f t="shared" si="0"/>
        <v>0.16360938</v>
      </c>
      <c r="F24" s="250">
        <v>0</v>
      </c>
      <c r="G24" s="250">
        <f t="shared" si="21"/>
        <v>4544.7049999999999</v>
      </c>
      <c r="H24" s="86">
        <f t="shared" si="1"/>
        <v>0.16360938</v>
      </c>
      <c r="I24" s="250"/>
      <c r="J24" s="250">
        <f>PASTAS!R21</f>
        <v>30000</v>
      </c>
      <c r="K24" s="250">
        <f t="shared" si="23"/>
        <v>27777.777777777777</v>
      </c>
      <c r="L24" s="308">
        <f t="shared" si="2"/>
        <v>30000</v>
      </c>
      <c r="M24" s="250">
        <f t="shared" si="26"/>
        <v>23233.072777777779</v>
      </c>
      <c r="N24" s="86">
        <f t="shared" si="27"/>
        <v>0.83639062000000008</v>
      </c>
      <c r="O24" s="250">
        <f t="shared" si="28"/>
        <v>23233.072777777779</v>
      </c>
      <c r="P24" s="86">
        <f t="shared" si="29"/>
        <v>0.83639062000000008</v>
      </c>
      <c r="Q24" s="308" t="e">
        <f>#REF!</f>
        <v>#REF!</v>
      </c>
      <c r="R24" s="347">
        <v>0</v>
      </c>
      <c r="T24" s="88"/>
    </row>
    <row r="25" spans="1:20" x14ac:dyDescent="0.2">
      <c r="A25" s="285">
        <v>24</v>
      </c>
      <c r="B25" s="271" t="s">
        <v>299</v>
      </c>
      <c r="C25" s="272" t="s">
        <v>549</v>
      </c>
      <c r="D25" s="250">
        <f>POSTRES!F22</f>
        <v>4431.2033333333338</v>
      </c>
      <c r="E25" s="86">
        <f t="shared" si="0"/>
        <v>0.30098739622641518</v>
      </c>
      <c r="F25" s="250">
        <v>0</v>
      </c>
      <c r="G25" s="250">
        <f t="shared" si="21"/>
        <v>4431.2033333333338</v>
      </c>
      <c r="H25" s="86">
        <f t="shared" si="1"/>
        <v>0.30098739622641518</v>
      </c>
      <c r="I25" s="250"/>
      <c r="J25" s="250">
        <f>POSTRES!F21</f>
        <v>15900</v>
      </c>
      <c r="K25" s="250">
        <f t="shared" si="23"/>
        <v>14722.222222222221</v>
      </c>
      <c r="L25" s="308">
        <f t="shared" si="2"/>
        <v>15900</v>
      </c>
      <c r="M25" s="250">
        <f t="shared" si="26"/>
        <v>10291.018888888888</v>
      </c>
      <c r="N25" s="86">
        <f t="shared" si="27"/>
        <v>0.69901260377358487</v>
      </c>
      <c r="O25" s="250">
        <f t="shared" si="28"/>
        <v>10291.018888888888</v>
      </c>
      <c r="P25" s="86">
        <f t="shared" si="29"/>
        <v>0.69901260377358487</v>
      </c>
      <c r="Q25" s="308" t="e">
        <f>#REF!</f>
        <v>#REF!</v>
      </c>
      <c r="R25" s="347">
        <v>0</v>
      </c>
      <c r="T25" s="88"/>
    </row>
    <row r="26" spans="1:20" x14ac:dyDescent="0.2">
      <c r="A26" s="285">
        <v>25</v>
      </c>
      <c r="B26" s="271" t="s">
        <v>299</v>
      </c>
      <c r="C26" s="272" t="s">
        <v>550</v>
      </c>
      <c r="D26" s="250">
        <f>POSTRES!L22</f>
        <v>2563.17875</v>
      </c>
      <c r="E26" s="86">
        <f t="shared" si="0"/>
        <v>0.27961950000000002</v>
      </c>
      <c r="F26" s="250">
        <v>0</v>
      </c>
      <c r="G26" s="250">
        <f t="shared" si="21"/>
        <v>2563.17875</v>
      </c>
      <c r="H26" s="86">
        <f t="shared" si="1"/>
        <v>0.27961950000000002</v>
      </c>
      <c r="I26" s="250"/>
      <c r="J26" s="318">
        <f>POSTRES!L21</f>
        <v>9900</v>
      </c>
      <c r="K26" s="250">
        <f t="shared" si="23"/>
        <v>9166.6666666666661</v>
      </c>
      <c r="L26" s="308">
        <f t="shared" si="2"/>
        <v>9900</v>
      </c>
      <c r="M26" s="250">
        <f t="shared" si="26"/>
        <v>6603.487916666666</v>
      </c>
      <c r="N26" s="86">
        <f t="shared" si="27"/>
        <v>0.72038049999999998</v>
      </c>
      <c r="O26" s="250">
        <f t="shared" si="28"/>
        <v>6603.487916666666</v>
      </c>
      <c r="P26" s="86">
        <f t="shared" si="29"/>
        <v>0.72038049999999998</v>
      </c>
      <c r="Q26" s="308" t="e">
        <f>#REF!</f>
        <v>#REF!</v>
      </c>
      <c r="R26" s="347">
        <v>0</v>
      </c>
      <c r="T26" s="88"/>
    </row>
    <row r="27" spans="1:20" x14ac:dyDescent="0.2">
      <c r="A27" s="285">
        <v>26</v>
      </c>
      <c r="B27" s="271" t="s">
        <v>601</v>
      </c>
      <c r="C27" s="272" t="s">
        <v>602</v>
      </c>
      <c r="D27" s="250">
        <f>PLATOS!F20</f>
        <v>13773.320000000002</v>
      </c>
      <c r="E27" s="86">
        <f t="shared" ref="E27" si="30">D27/K27</f>
        <v>0.31649331063829789</v>
      </c>
      <c r="F27" s="250">
        <f>PLATOS!F16</f>
        <v>1740</v>
      </c>
      <c r="G27" s="250">
        <f t="shared" ref="G27" si="31">+D27+F27</f>
        <v>15513.320000000002</v>
      </c>
      <c r="H27" s="86">
        <f t="shared" si="1"/>
        <v>0.35647628936170217</v>
      </c>
      <c r="I27" s="250"/>
      <c r="J27" s="250">
        <f>PLATOS!F21</f>
        <v>47000</v>
      </c>
      <c r="K27" s="250">
        <f t="shared" si="23"/>
        <v>43518.518518518518</v>
      </c>
      <c r="L27" s="308">
        <f t="shared" si="2"/>
        <v>47000</v>
      </c>
      <c r="M27" s="250">
        <f t="shared" si="26"/>
        <v>29745.198518518519</v>
      </c>
      <c r="N27" s="86">
        <f t="shared" si="27"/>
        <v>0.68350668936170211</v>
      </c>
      <c r="O27" s="250">
        <f t="shared" si="28"/>
        <v>28005.198518518519</v>
      </c>
      <c r="P27" s="86">
        <f t="shared" si="29"/>
        <v>0.64352371063829783</v>
      </c>
      <c r="Q27" s="308" t="e">
        <f>#REF!</f>
        <v>#REF!</v>
      </c>
      <c r="R27" s="347">
        <v>0</v>
      </c>
      <c r="T27" s="88"/>
    </row>
    <row r="28" spans="1:20" x14ac:dyDescent="0.2">
      <c r="A28" s="285">
        <v>27</v>
      </c>
      <c r="B28" s="271" t="s">
        <v>601</v>
      </c>
      <c r="C28" s="272" t="s">
        <v>603</v>
      </c>
      <c r="D28" s="250">
        <f>PLATOS!L20</f>
        <v>11847</v>
      </c>
      <c r="E28" s="86">
        <f t="shared" ref="E28" si="32">D28/K28</f>
        <v>0.27222893617021277</v>
      </c>
      <c r="F28" s="250">
        <f>PLATOS!L16</f>
        <v>1740</v>
      </c>
      <c r="G28" s="250">
        <f t="shared" ref="G28" si="33">+D28+F28</f>
        <v>13587</v>
      </c>
      <c r="H28" s="86">
        <f t="shared" ref="H28" si="34">G28/K28</f>
        <v>0.31221191489361705</v>
      </c>
      <c r="I28" s="250"/>
      <c r="J28" s="250">
        <f>PLATOS!L21</f>
        <v>47000</v>
      </c>
      <c r="K28" s="250">
        <f t="shared" si="23"/>
        <v>43518.518518518518</v>
      </c>
      <c r="L28" s="308">
        <f t="shared" ref="L28:L30" si="35">J28</f>
        <v>47000</v>
      </c>
      <c r="M28" s="250">
        <f t="shared" si="26"/>
        <v>31671.518518518518</v>
      </c>
      <c r="N28" s="86">
        <f t="shared" si="27"/>
        <v>0.72777106382978718</v>
      </c>
      <c r="O28" s="250">
        <f t="shared" si="28"/>
        <v>29931.518518518518</v>
      </c>
      <c r="P28" s="86">
        <f t="shared" si="29"/>
        <v>0.68778808510638301</v>
      </c>
      <c r="Q28" s="308" t="e">
        <f>#REF!</f>
        <v>#REF!</v>
      </c>
      <c r="R28" s="347">
        <v>0</v>
      </c>
      <c r="T28" s="88"/>
    </row>
    <row r="29" spans="1:20" x14ac:dyDescent="0.2">
      <c r="A29" s="285">
        <v>28</v>
      </c>
      <c r="B29" s="271" t="s">
        <v>601</v>
      </c>
      <c r="C29" s="272" t="s">
        <v>708</v>
      </c>
      <c r="D29" s="250">
        <f>PLATOS!R21</f>
        <v>10435.700000000001</v>
      </c>
      <c r="E29" s="86">
        <f t="shared" ref="E29" si="36">D29/K29</f>
        <v>0.28176390000000001</v>
      </c>
      <c r="F29" s="250">
        <f>PLATOS!L17</f>
        <v>0</v>
      </c>
      <c r="G29" s="250">
        <f t="shared" ref="G29" si="37">+D29+F29</f>
        <v>10435.700000000001</v>
      </c>
      <c r="H29" s="86">
        <f t="shared" ref="H29" si="38">G29/K29</f>
        <v>0.28176390000000001</v>
      </c>
      <c r="I29" s="250"/>
      <c r="J29" s="250">
        <f>PLATOS!R22</f>
        <v>40000</v>
      </c>
      <c r="K29" s="250">
        <f t="shared" si="23"/>
        <v>37037.037037037036</v>
      </c>
      <c r="L29" s="308">
        <f t="shared" si="35"/>
        <v>40000</v>
      </c>
      <c r="M29" s="250">
        <f t="shared" si="26"/>
        <v>26601.337037037036</v>
      </c>
      <c r="N29" s="86">
        <f t="shared" si="27"/>
        <v>0.71823609999999993</v>
      </c>
      <c r="O29" s="250">
        <f t="shared" si="28"/>
        <v>26601.337037037036</v>
      </c>
      <c r="P29" s="86">
        <f t="shared" si="29"/>
        <v>0.71823609999999993</v>
      </c>
      <c r="Q29" s="308" t="e">
        <f>#REF!</f>
        <v>#REF!</v>
      </c>
      <c r="R29" s="347">
        <v>0</v>
      </c>
      <c r="T29" s="88"/>
    </row>
    <row r="30" spans="1:20" x14ac:dyDescent="0.2">
      <c r="A30" s="285">
        <v>29</v>
      </c>
      <c r="B30" s="271" t="s">
        <v>601</v>
      </c>
      <c r="C30" s="272" t="s">
        <v>658</v>
      </c>
      <c r="D30" s="250">
        <f>PLATOS!F43</f>
        <v>17096.2</v>
      </c>
      <c r="E30" s="86">
        <f t="shared" ref="E30" si="39">D30/K30</f>
        <v>0.33570720000000004</v>
      </c>
      <c r="F30" s="250">
        <f>PLATOS!F39</f>
        <v>1740</v>
      </c>
      <c r="G30" s="250">
        <f t="shared" ref="G30" si="40">+D30+F30</f>
        <v>18836.2</v>
      </c>
      <c r="H30" s="86">
        <f t="shared" ref="H30" si="41">G30/K30</f>
        <v>0.36987447272727281</v>
      </c>
      <c r="I30" s="250"/>
      <c r="J30" s="250">
        <f>PLATOS!F44</f>
        <v>55000</v>
      </c>
      <c r="K30" s="250">
        <f t="shared" si="23"/>
        <v>50925.92592592592</v>
      </c>
      <c r="L30" s="308">
        <f t="shared" si="35"/>
        <v>55000</v>
      </c>
      <c r="M30" s="250">
        <f t="shared" si="26"/>
        <v>33829.725925925915</v>
      </c>
      <c r="N30" s="86">
        <f t="shared" si="27"/>
        <v>0.66429279999999991</v>
      </c>
      <c r="O30" s="250">
        <f t="shared" si="28"/>
        <v>32089.725925925919</v>
      </c>
      <c r="P30" s="86">
        <f t="shared" si="29"/>
        <v>0.63012552727272719</v>
      </c>
      <c r="Q30" s="308" t="e">
        <f>#REF!</f>
        <v>#REF!</v>
      </c>
      <c r="R30" s="347">
        <v>0</v>
      </c>
      <c r="T30" s="88"/>
    </row>
    <row r="31" spans="1:20" x14ac:dyDescent="0.2">
      <c r="A31" s="285">
        <v>30</v>
      </c>
      <c r="B31" s="271" t="s">
        <v>804</v>
      </c>
      <c r="C31" s="272" t="s">
        <v>777</v>
      </c>
      <c r="D31" s="250">
        <f>TARDEO!F20</f>
        <v>6625.85</v>
      </c>
      <c r="E31" s="86">
        <f t="shared" ref="E31:E32" si="42">D31/K31</f>
        <v>0.45005773584905667</v>
      </c>
      <c r="F31" s="250">
        <f>PLATOS!F40</f>
        <v>0</v>
      </c>
      <c r="G31" s="250">
        <f t="shared" ref="G31" si="43">+D31+F31</f>
        <v>6625.85</v>
      </c>
      <c r="H31" s="86">
        <f>G31/K31</f>
        <v>0.45005773584905667</v>
      </c>
      <c r="I31" s="250"/>
      <c r="J31" s="250">
        <f>TARDEO!F21</f>
        <v>15900</v>
      </c>
      <c r="K31" s="250">
        <f t="shared" ref="K31" si="44">+J31/1.08</f>
        <v>14722.222222222221</v>
      </c>
      <c r="L31" s="308">
        <f t="shared" ref="L31" si="45">J31</f>
        <v>15900</v>
      </c>
      <c r="M31" s="250">
        <f t="shared" ref="M31" si="46">K31-D31</f>
        <v>8096.3722222222204</v>
      </c>
      <c r="N31" s="86">
        <f t="shared" ref="N31" si="47">M31/K31</f>
        <v>0.54994226415094338</v>
      </c>
      <c r="O31" s="250">
        <f t="shared" ref="O31" si="48">K31-G31</f>
        <v>8096.3722222222204</v>
      </c>
      <c r="P31" s="86">
        <f t="shared" ref="P31" si="49">O31/K31</f>
        <v>0.54994226415094338</v>
      </c>
      <c r="Q31" s="308" t="e">
        <f>#REF!</f>
        <v>#REF!</v>
      </c>
      <c r="R31" s="347">
        <v>0</v>
      </c>
      <c r="T31" s="88"/>
    </row>
    <row r="32" spans="1:20" x14ac:dyDescent="0.2">
      <c r="A32" s="285">
        <v>31</v>
      </c>
      <c r="B32" s="271" t="s">
        <v>804</v>
      </c>
      <c r="C32" s="272" t="s">
        <v>805</v>
      </c>
      <c r="D32" s="250">
        <f>TARDEO!L20</f>
        <v>2962.0800000000004</v>
      </c>
      <c r="E32" s="86">
        <f t="shared" si="42"/>
        <v>0.29349049541284411</v>
      </c>
      <c r="F32" s="250">
        <v>0</v>
      </c>
      <c r="G32" s="250">
        <f t="shared" ref="G32:G33" si="50">+D32+F32</f>
        <v>2962.0800000000004</v>
      </c>
      <c r="H32" s="86">
        <f>G32/K32</f>
        <v>0.29349049541284411</v>
      </c>
      <c r="I32" s="250"/>
      <c r="J32" s="250">
        <f>TARDEO!L21</f>
        <v>10900</v>
      </c>
      <c r="K32" s="250">
        <f t="shared" ref="K32" si="51">+J32/1.08</f>
        <v>10092.592592592591</v>
      </c>
      <c r="L32" s="308">
        <f t="shared" ref="L32" si="52">J32</f>
        <v>10900</v>
      </c>
      <c r="M32" s="250">
        <f t="shared" ref="M32" si="53">K32-D32</f>
        <v>7130.5125925925913</v>
      </c>
      <c r="N32" s="86">
        <f t="shared" ref="N32" si="54">M32/K32</f>
        <v>0.70650950458715589</v>
      </c>
      <c r="O32" s="250">
        <f t="shared" ref="O32" si="55">K32-G32</f>
        <v>7130.5125925925913</v>
      </c>
      <c r="P32" s="86">
        <f t="shared" ref="P32" si="56">O32/K32</f>
        <v>0.70650950458715589</v>
      </c>
      <c r="Q32" s="308" t="e">
        <f>#REF!</f>
        <v>#REF!</v>
      </c>
      <c r="R32" s="347">
        <v>0</v>
      </c>
      <c r="T32" s="88"/>
    </row>
    <row r="33" spans="1:20" x14ac:dyDescent="0.2">
      <c r="A33" s="285">
        <v>32</v>
      </c>
      <c r="B33" s="271" t="s">
        <v>804</v>
      </c>
      <c r="C33" s="272" t="s">
        <v>806</v>
      </c>
      <c r="D33" s="250">
        <f>TARDEO!R20</f>
        <v>5568.2</v>
      </c>
      <c r="E33" s="86">
        <f t="shared" ref="E33" si="57">D33/K33</f>
        <v>0.35583763313609468</v>
      </c>
      <c r="F33" s="250">
        <v>0</v>
      </c>
      <c r="G33" s="250">
        <f t="shared" si="50"/>
        <v>5568.2</v>
      </c>
      <c r="H33" s="86">
        <f>G33/K33</f>
        <v>0.35583763313609468</v>
      </c>
      <c r="I33" s="250"/>
      <c r="J33" s="250">
        <f>TARDEO!R21</f>
        <v>16900</v>
      </c>
      <c r="K33" s="250">
        <f t="shared" ref="K33" si="58">+J33/1.08</f>
        <v>15648.148148148148</v>
      </c>
      <c r="L33" s="308">
        <f t="shared" ref="L33" si="59">J33</f>
        <v>16900</v>
      </c>
      <c r="M33" s="250">
        <f t="shared" ref="M33" si="60">K33-D33</f>
        <v>10079.948148148149</v>
      </c>
      <c r="N33" s="86">
        <f t="shared" ref="N33" si="61">M33/K33</f>
        <v>0.64416236686390538</v>
      </c>
      <c r="O33" s="250">
        <f t="shared" ref="O33" si="62">K33-G33</f>
        <v>10079.948148148149</v>
      </c>
      <c r="P33" s="86">
        <f t="shared" ref="P33" si="63">O33/K33</f>
        <v>0.64416236686390538</v>
      </c>
      <c r="Q33" s="308" t="e">
        <f>#REF!</f>
        <v>#REF!</v>
      </c>
      <c r="R33" s="347">
        <v>0</v>
      </c>
      <c r="T33" s="88"/>
    </row>
    <row r="34" spans="1:20" x14ac:dyDescent="0.2">
      <c r="A34" s="285">
        <v>33</v>
      </c>
      <c r="B34" s="271" t="s">
        <v>821</v>
      </c>
      <c r="C34" s="272" t="s">
        <v>822</v>
      </c>
      <c r="D34" s="250">
        <f>ARROCES!F20</f>
        <v>4565.924</v>
      </c>
      <c r="E34" s="86">
        <f t="shared" ref="E34" si="64">D34/K34</f>
        <v>0.29178685917159763</v>
      </c>
      <c r="F34" s="250">
        <v>0</v>
      </c>
      <c r="G34" s="250">
        <f t="shared" ref="G34" si="65">+D34+F34</f>
        <v>4565.924</v>
      </c>
      <c r="H34" s="86">
        <f>G34/K34</f>
        <v>0.29178685917159763</v>
      </c>
      <c r="I34" s="250"/>
      <c r="J34" s="250">
        <f>ARROCES!F21</f>
        <v>16900</v>
      </c>
      <c r="K34" s="250">
        <f t="shared" ref="K34" si="66">+J34/1.08</f>
        <v>15648.148148148148</v>
      </c>
      <c r="L34" s="308">
        <f t="shared" ref="L34" si="67">J34</f>
        <v>16900</v>
      </c>
      <c r="M34" s="250">
        <f t="shared" ref="M34" si="68">K34-D34</f>
        <v>11082.224148148147</v>
      </c>
      <c r="N34" s="86">
        <f t="shared" ref="N34" si="69">M34/K34</f>
        <v>0.70821314082840225</v>
      </c>
      <c r="O34" s="250">
        <f t="shared" ref="O34" si="70">K34-G34</f>
        <v>11082.224148148147</v>
      </c>
      <c r="P34" s="86">
        <f t="shared" ref="P34" si="71">O34/K34</f>
        <v>0.70821314082840225</v>
      </c>
      <c r="Q34" s="308" t="e">
        <f>#REF!</f>
        <v>#REF!</v>
      </c>
      <c r="R34" s="347">
        <v>0</v>
      </c>
      <c r="T34" s="88"/>
    </row>
    <row r="35" spans="1:20" x14ac:dyDescent="0.2">
      <c r="A35" s="285">
        <v>34</v>
      </c>
      <c r="B35" s="271" t="s">
        <v>821</v>
      </c>
      <c r="C35" s="272" t="s">
        <v>819</v>
      </c>
      <c r="D35" s="250">
        <f>ARROCES!L20</f>
        <v>5863.924</v>
      </c>
      <c r="E35" s="86">
        <f t="shared" ref="E35" si="72">D35/K35</f>
        <v>0.35380100111731844</v>
      </c>
      <c r="F35" s="250">
        <v>0</v>
      </c>
      <c r="G35" s="250">
        <f t="shared" ref="G35" si="73">+D35+F35</f>
        <v>5863.924</v>
      </c>
      <c r="H35" s="86">
        <f>G35/K35</f>
        <v>0.35380100111731844</v>
      </c>
      <c r="I35" s="250"/>
      <c r="J35" s="250">
        <f>ARROCES!L21</f>
        <v>17900</v>
      </c>
      <c r="K35" s="250">
        <f t="shared" ref="K35" si="74">+J35/1.08</f>
        <v>16574.074074074073</v>
      </c>
      <c r="L35" s="308">
        <f t="shared" ref="L35" si="75">J35</f>
        <v>17900</v>
      </c>
      <c r="M35" s="250">
        <f t="shared" ref="M35" si="76">K35-D35</f>
        <v>10710.150074074074</v>
      </c>
      <c r="N35" s="86">
        <f t="shared" ref="N35" si="77">M35/K35</f>
        <v>0.64619899888268162</v>
      </c>
      <c r="O35" s="250">
        <f t="shared" ref="O35" si="78">K35-G35</f>
        <v>10710.150074074074</v>
      </c>
      <c r="P35" s="86">
        <f t="shared" ref="P35" si="79">O35/K35</f>
        <v>0.64619899888268162</v>
      </c>
      <c r="Q35" s="308" t="e">
        <f>#REF!</f>
        <v>#REF!</v>
      </c>
      <c r="R35" s="347">
        <v>0</v>
      </c>
      <c r="T35" s="88"/>
    </row>
    <row r="36" spans="1:20" x14ac:dyDescent="0.2">
      <c r="A36" s="285">
        <v>35</v>
      </c>
      <c r="B36" s="271" t="s">
        <v>821</v>
      </c>
      <c r="C36" s="272" t="s">
        <v>823</v>
      </c>
      <c r="D36" s="250">
        <v>0</v>
      </c>
      <c r="E36" s="86"/>
      <c r="F36" s="250"/>
      <c r="G36" s="250"/>
      <c r="H36" s="86"/>
      <c r="I36" s="250"/>
      <c r="J36" s="250"/>
      <c r="K36" s="250"/>
      <c r="L36" s="308"/>
      <c r="M36" s="250"/>
      <c r="N36" s="312"/>
      <c r="O36" s="250"/>
      <c r="P36" s="312"/>
      <c r="Q36" s="308"/>
      <c r="R36" s="347"/>
      <c r="T36" s="88"/>
    </row>
    <row r="37" spans="1:20" x14ac:dyDescent="0.2">
      <c r="A37" s="285">
        <v>36</v>
      </c>
      <c r="B37" s="271" t="s">
        <v>845</v>
      </c>
      <c r="C37" s="272" t="s">
        <v>833</v>
      </c>
      <c r="D37" s="250">
        <f>'CENAS DICIEMBRE '!L23</f>
        <v>16572.599999999999</v>
      </c>
      <c r="E37" s="86">
        <f t="shared" ref="E37:E38" si="80">D37/K37</f>
        <v>0.35796815999999998</v>
      </c>
      <c r="F37" s="250">
        <v>0</v>
      </c>
      <c r="G37" s="250">
        <f t="shared" ref="G37" si="81">+D37+F37</f>
        <v>16572.599999999999</v>
      </c>
      <c r="H37" s="86">
        <f>G37/K37</f>
        <v>0.35796815999999998</v>
      </c>
      <c r="I37" s="250"/>
      <c r="J37" s="250">
        <f>'CENAS DICIEMBRE '!L24</f>
        <v>50000</v>
      </c>
      <c r="K37" s="250">
        <f t="shared" ref="K37" si="82">+J37/1.08</f>
        <v>46296.296296296292</v>
      </c>
      <c r="L37" s="308">
        <f t="shared" ref="L37:L38" si="83">J37</f>
        <v>50000</v>
      </c>
      <c r="M37" s="250">
        <f t="shared" ref="M37" si="84">K37-D37</f>
        <v>29723.696296296293</v>
      </c>
      <c r="N37" s="86">
        <f t="shared" ref="N37" si="85">M37/K37</f>
        <v>0.64203184000000002</v>
      </c>
      <c r="O37" s="250">
        <f t="shared" ref="O37" si="86">K37-G37</f>
        <v>29723.696296296293</v>
      </c>
      <c r="P37" s="86">
        <f t="shared" ref="P37" si="87">O37/K37</f>
        <v>0.64203184000000002</v>
      </c>
      <c r="Q37" s="308" t="e">
        <f>#REF!</f>
        <v>#REF!</v>
      </c>
      <c r="R37" s="347"/>
      <c r="T37" s="88"/>
    </row>
    <row r="38" spans="1:20" x14ac:dyDescent="0.2">
      <c r="A38" s="285"/>
      <c r="B38" s="271"/>
      <c r="C38" s="272" t="s">
        <v>857</v>
      </c>
      <c r="D38" s="250">
        <f>'CENAS DICIEMBRE '!U8</f>
        <v>30549</v>
      </c>
      <c r="E38" s="86">
        <f t="shared" si="80"/>
        <v>0.36658800000000002</v>
      </c>
      <c r="F38" s="250">
        <v>0</v>
      </c>
      <c r="G38" s="250">
        <f t="shared" ref="G38" si="88">+D38+F38</f>
        <v>30549</v>
      </c>
      <c r="H38" s="86">
        <f>G38/K38</f>
        <v>0.36658800000000002</v>
      </c>
      <c r="I38" s="250"/>
      <c r="J38" s="250">
        <f>'CENAS DICIEMBRE '!V8</f>
        <v>90000</v>
      </c>
      <c r="K38" s="250">
        <f t="shared" ref="K38" si="89">+J38/1.08</f>
        <v>83333.333333333328</v>
      </c>
      <c r="L38" s="308">
        <f t="shared" si="83"/>
        <v>90000</v>
      </c>
      <c r="M38" s="250">
        <f t="shared" ref="M38" si="90">K38-D38</f>
        <v>52784.333333333328</v>
      </c>
      <c r="N38" s="86">
        <f t="shared" ref="N38" si="91">M38/K38</f>
        <v>0.63341199999999998</v>
      </c>
      <c r="O38" s="250">
        <f t="shared" ref="O38" si="92">K38-G38</f>
        <v>52784.333333333328</v>
      </c>
      <c r="P38" s="86">
        <f>O38/K38</f>
        <v>0.63341199999999998</v>
      </c>
      <c r="Q38" s="308" t="e">
        <f>#REF!</f>
        <v>#REF!</v>
      </c>
      <c r="R38" s="347"/>
      <c r="T38" s="88"/>
    </row>
    <row r="39" spans="1:20" x14ac:dyDescent="0.2">
      <c r="A39" s="285"/>
      <c r="B39" s="252"/>
      <c r="C39" s="249"/>
      <c r="D39" s="250">
        <v>0</v>
      </c>
      <c r="E39" s="86" t="e">
        <f t="shared" ref="E39" si="93">+#REF!/B39</f>
        <v>#REF!</v>
      </c>
      <c r="F39" s="250">
        <v>0</v>
      </c>
      <c r="G39" s="250">
        <f t="shared" ref="G39" si="94">+D39+F39</f>
        <v>0</v>
      </c>
      <c r="H39" s="86" t="e">
        <f t="shared" ref="H39" si="95">+#REF!/E39</f>
        <v>#REF!</v>
      </c>
      <c r="I39" s="250" t="e">
        <f t="shared" si="20"/>
        <v>#REF!</v>
      </c>
      <c r="J39" s="250" t="e">
        <f>#REF!</f>
        <v>#REF!</v>
      </c>
      <c r="K39" s="250" t="e">
        <f t="shared" ref="K39" si="96">+J39/1.08</f>
        <v>#REF!</v>
      </c>
      <c r="L39" s="308" t="e">
        <f>J39</f>
        <v>#REF!</v>
      </c>
      <c r="M39" s="250">
        <v>0</v>
      </c>
      <c r="N39" s="312"/>
      <c r="O39" s="250">
        <v>0</v>
      </c>
      <c r="P39" s="312"/>
      <c r="Q39" s="308" t="e">
        <f>#REF!</f>
        <v>#REF!</v>
      </c>
      <c r="R39" s="347">
        <v>0</v>
      </c>
      <c r="T39" s="88"/>
    </row>
    <row r="45" spans="1:20" x14ac:dyDescent="0.2">
      <c r="F45" s="90"/>
      <c r="G45" s="91"/>
    </row>
  </sheetData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7993-0A66-446C-B35D-A98D270E4DCB}">
  <dimension ref="B1:AA69"/>
  <sheetViews>
    <sheetView topLeftCell="O6" workbookViewId="0">
      <selection activeCell="W26" sqref="W26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  <col min="20" max="20" width="27.85546875" bestFit="1" customWidth="1"/>
    <col min="21" max="23" width="14.7109375" bestFit="1" customWidth="1"/>
    <col min="24" max="24" width="7.140625" bestFit="1" customWidth="1"/>
    <col min="25" max="26" width="11.85546875" bestFit="1" customWidth="1"/>
  </cols>
  <sheetData>
    <row r="1" spans="2:24" ht="13.5" thickBot="1" x14ac:dyDescent="0.25"/>
    <row r="2" spans="2:24" ht="15" x14ac:dyDescent="0.25">
      <c r="B2" s="354" t="s">
        <v>832</v>
      </c>
      <c r="C2" s="355"/>
      <c r="D2" s="355"/>
      <c r="E2" s="355"/>
      <c r="F2" s="356"/>
      <c r="H2" s="354" t="s">
        <v>833</v>
      </c>
      <c r="I2" s="355"/>
      <c r="J2" s="355"/>
      <c r="K2" s="355"/>
      <c r="L2" s="356"/>
      <c r="N2" s="354" t="s">
        <v>847</v>
      </c>
      <c r="O2" s="355"/>
      <c r="P2" s="355"/>
      <c r="Q2" s="355"/>
      <c r="R2" s="356"/>
    </row>
    <row r="3" spans="2:24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  <c r="T3" s="351" t="s">
        <v>858</v>
      </c>
      <c r="U3" s="146" t="s">
        <v>860</v>
      </c>
      <c r="V3" s="146" t="s">
        <v>859</v>
      </c>
      <c r="W3" s="146" t="s">
        <v>861</v>
      </c>
    </row>
    <row r="4" spans="2:24" ht="15.75" x14ac:dyDescent="0.25">
      <c r="B4" s="257" t="s">
        <v>836</v>
      </c>
      <c r="C4" s="258">
        <v>670</v>
      </c>
      <c r="D4" s="259" t="s">
        <v>249</v>
      </c>
      <c r="E4" s="331">
        <v>50.3</v>
      </c>
      <c r="F4" s="348">
        <f>C4*E4</f>
        <v>33701</v>
      </c>
      <c r="H4" s="257" t="s">
        <v>834</v>
      </c>
      <c r="I4" s="258">
        <v>250</v>
      </c>
      <c r="J4" s="259" t="s">
        <v>249</v>
      </c>
      <c r="K4" s="260">
        <v>22.08</v>
      </c>
      <c r="L4" s="261">
        <f>I4*K4</f>
        <v>5520</v>
      </c>
      <c r="N4" s="257" t="s">
        <v>848</v>
      </c>
      <c r="O4" s="258">
        <v>40</v>
      </c>
      <c r="P4" s="258" t="s">
        <v>249</v>
      </c>
      <c r="Q4" s="260">
        <v>40</v>
      </c>
      <c r="R4" s="261">
        <f>O4*Q4</f>
        <v>1600</v>
      </c>
      <c r="T4" s="280" t="s">
        <v>864</v>
      </c>
      <c r="U4" s="90">
        <v>20919</v>
      </c>
    </row>
    <row r="5" spans="2:24" ht="15.75" x14ac:dyDescent="0.25">
      <c r="B5" s="262" t="s">
        <v>825</v>
      </c>
      <c r="C5" s="108">
        <v>20</v>
      </c>
      <c r="D5" s="255" t="s">
        <v>249</v>
      </c>
      <c r="E5" s="320">
        <v>38.799999999999997</v>
      </c>
      <c r="F5" s="208">
        <f>C5*E5</f>
        <v>776</v>
      </c>
      <c r="H5" s="265" t="s">
        <v>830</v>
      </c>
      <c r="I5" s="108">
        <v>5</v>
      </c>
      <c r="J5" s="254" t="s">
        <v>249</v>
      </c>
      <c r="K5" s="253">
        <v>15</v>
      </c>
      <c r="L5" s="203">
        <f t="shared" ref="L5:L11" si="0">I5*K5</f>
        <v>75</v>
      </c>
      <c r="N5" s="262" t="s">
        <v>849</v>
      </c>
      <c r="O5" s="108">
        <v>35</v>
      </c>
      <c r="P5" s="334" t="s">
        <v>249</v>
      </c>
      <c r="Q5" s="253">
        <v>48</v>
      </c>
      <c r="R5" s="203">
        <f t="shared" ref="R5:R11" si="1">O5*Q5</f>
        <v>1680</v>
      </c>
      <c r="T5" s="280" t="s">
        <v>856</v>
      </c>
      <c r="U5" s="90">
        <v>1000</v>
      </c>
    </row>
    <row r="6" spans="2:24" ht="15.75" x14ac:dyDescent="0.25">
      <c r="B6" s="262" t="s">
        <v>826</v>
      </c>
      <c r="C6" s="108">
        <v>50</v>
      </c>
      <c r="D6" s="255" t="s">
        <v>249</v>
      </c>
      <c r="E6" s="320">
        <v>26.9</v>
      </c>
      <c r="F6" s="203">
        <f t="shared" ref="F6:F12" si="2">C6*E6</f>
        <v>1345</v>
      </c>
      <c r="H6" s="262" t="s">
        <v>835</v>
      </c>
      <c r="I6" s="108">
        <v>165</v>
      </c>
      <c r="J6" s="254" t="s">
        <v>249</v>
      </c>
      <c r="K6" s="320">
        <v>38.799999999999997</v>
      </c>
      <c r="L6" s="203">
        <f t="shared" si="0"/>
        <v>6401.9999999999991</v>
      </c>
      <c r="N6" s="262" t="s">
        <v>850</v>
      </c>
      <c r="O6" s="350">
        <v>0.5</v>
      </c>
      <c r="P6" s="334" t="s">
        <v>248</v>
      </c>
      <c r="Q6" s="253">
        <v>700</v>
      </c>
      <c r="R6" s="203">
        <f t="shared" si="1"/>
        <v>350</v>
      </c>
      <c r="T6" s="280" t="s">
        <v>873</v>
      </c>
      <c r="U6" s="90">
        <v>4000</v>
      </c>
    </row>
    <row r="7" spans="2:24" ht="15.75" x14ac:dyDescent="0.25">
      <c r="B7" s="262" t="s">
        <v>827</v>
      </c>
      <c r="C7" s="108">
        <v>170</v>
      </c>
      <c r="D7" s="255" t="s">
        <v>249</v>
      </c>
      <c r="E7" s="320">
        <v>34.4</v>
      </c>
      <c r="F7" s="203">
        <f t="shared" si="2"/>
        <v>5848</v>
      </c>
      <c r="H7" s="262" t="s">
        <v>828</v>
      </c>
      <c r="I7" s="108">
        <v>4</v>
      </c>
      <c r="J7" s="254" t="s">
        <v>249</v>
      </c>
      <c r="K7" s="253">
        <v>5</v>
      </c>
      <c r="L7" s="203">
        <f t="shared" si="0"/>
        <v>20</v>
      </c>
      <c r="N7" s="262" t="s">
        <v>851</v>
      </c>
      <c r="O7" s="108">
        <v>1</v>
      </c>
      <c r="P7" s="334" t="s">
        <v>248</v>
      </c>
      <c r="Q7" s="253">
        <v>1000</v>
      </c>
      <c r="R7" s="203">
        <f>O7*Q7</f>
        <v>1000</v>
      </c>
      <c r="T7" s="319" t="s">
        <v>855</v>
      </c>
      <c r="U7" s="90">
        <v>4630</v>
      </c>
      <c r="W7" s="90"/>
      <c r="X7" s="90"/>
    </row>
    <row r="8" spans="2:24" ht="15.75" x14ac:dyDescent="0.25">
      <c r="B8" s="262" t="s">
        <v>332</v>
      </c>
      <c r="C8" s="108">
        <v>65</v>
      </c>
      <c r="D8" s="255" t="s">
        <v>249</v>
      </c>
      <c r="E8" s="320">
        <v>3.8</v>
      </c>
      <c r="F8" s="203">
        <f t="shared" si="2"/>
        <v>247</v>
      </c>
      <c r="H8" s="265" t="s">
        <v>831</v>
      </c>
      <c r="I8" s="108">
        <v>15</v>
      </c>
      <c r="J8" s="254" t="s">
        <v>249</v>
      </c>
      <c r="K8" s="253">
        <v>5</v>
      </c>
      <c r="L8" s="203">
        <f t="shared" si="0"/>
        <v>75</v>
      </c>
      <c r="N8" s="262"/>
      <c r="O8" s="108"/>
      <c r="P8" s="334" t="s">
        <v>249</v>
      </c>
      <c r="Q8" s="253"/>
      <c r="R8" s="203">
        <f t="shared" si="1"/>
        <v>0</v>
      </c>
      <c r="U8" s="91">
        <f>SUM(U4:U7)</f>
        <v>30549</v>
      </c>
      <c r="V8" s="90">
        <v>90000</v>
      </c>
      <c r="W8" s="91">
        <f>V8-U8</f>
        <v>59451</v>
      </c>
    </row>
    <row r="9" spans="2:24" ht="15.75" x14ac:dyDescent="0.25">
      <c r="B9" s="262" t="s">
        <v>828</v>
      </c>
      <c r="C9" s="108">
        <v>4</v>
      </c>
      <c r="D9" s="255" t="s">
        <v>249</v>
      </c>
      <c r="E9" s="320">
        <v>4.8</v>
      </c>
      <c r="F9" s="203">
        <f t="shared" si="2"/>
        <v>19.2</v>
      </c>
      <c r="H9" s="262" t="s">
        <v>837</v>
      </c>
      <c r="I9" s="108">
        <v>200</v>
      </c>
      <c r="J9" s="254" t="s">
        <v>249</v>
      </c>
      <c r="K9" s="253">
        <v>7.52</v>
      </c>
      <c r="L9" s="203">
        <f t="shared" si="0"/>
        <v>1504</v>
      </c>
      <c r="N9" s="262"/>
      <c r="O9" s="108"/>
      <c r="P9" s="334" t="s">
        <v>249</v>
      </c>
      <c r="Q9" s="253"/>
      <c r="R9" s="203">
        <f t="shared" si="1"/>
        <v>0</v>
      </c>
      <c r="U9" s="286">
        <v>80</v>
      </c>
      <c r="V9">
        <v>80</v>
      </c>
      <c r="X9" s="91"/>
    </row>
    <row r="10" spans="2:24" ht="15.75" x14ac:dyDescent="0.25">
      <c r="B10" s="262" t="s">
        <v>829</v>
      </c>
      <c r="C10" s="108">
        <v>0.5</v>
      </c>
      <c r="D10" s="255" t="s">
        <v>249</v>
      </c>
      <c r="E10" s="253">
        <v>52</v>
      </c>
      <c r="F10" s="203">
        <f t="shared" si="2"/>
        <v>26</v>
      </c>
      <c r="H10" s="262" t="s">
        <v>844</v>
      </c>
      <c r="I10" s="108">
        <v>120</v>
      </c>
      <c r="J10" s="254" t="s">
        <v>249</v>
      </c>
      <c r="K10" s="320">
        <v>8.5</v>
      </c>
      <c r="L10" s="203">
        <f t="shared" si="0"/>
        <v>1020</v>
      </c>
      <c r="N10" s="262"/>
      <c r="O10" s="108"/>
      <c r="P10" s="334" t="s">
        <v>249</v>
      </c>
      <c r="Q10" s="253"/>
      <c r="R10" s="203">
        <f t="shared" si="1"/>
        <v>0</v>
      </c>
      <c r="U10" s="90">
        <f>U8*U9</f>
        <v>2443920</v>
      </c>
      <c r="V10" s="90">
        <f>V8*V9</f>
        <v>7200000</v>
      </c>
      <c r="W10" s="91">
        <f>V10-U10</f>
        <v>4756080</v>
      </c>
    </row>
    <row r="11" spans="2:24" ht="15.75" x14ac:dyDescent="0.25">
      <c r="B11" s="265" t="s">
        <v>830</v>
      </c>
      <c r="C11" s="108">
        <v>5</v>
      </c>
      <c r="D11" s="255" t="s">
        <v>249</v>
      </c>
      <c r="E11" s="253">
        <v>15</v>
      </c>
      <c r="F11" s="203">
        <f t="shared" si="2"/>
        <v>75</v>
      </c>
      <c r="H11" s="265" t="s">
        <v>846</v>
      </c>
      <c r="I11" s="108">
        <v>100</v>
      </c>
      <c r="J11" s="255" t="s">
        <v>249</v>
      </c>
      <c r="K11" s="253">
        <v>4.5</v>
      </c>
      <c r="L11" s="203">
        <f t="shared" si="0"/>
        <v>450</v>
      </c>
      <c r="N11" s="265"/>
      <c r="O11" s="108"/>
      <c r="P11" s="255"/>
      <c r="Q11" s="253"/>
      <c r="R11" s="203">
        <f t="shared" si="1"/>
        <v>0</v>
      </c>
    </row>
    <row r="12" spans="2:24" ht="15.75" x14ac:dyDescent="0.25">
      <c r="B12" s="265" t="s">
        <v>831</v>
      </c>
      <c r="C12" s="108">
        <v>15</v>
      </c>
      <c r="D12" s="255" t="s">
        <v>249</v>
      </c>
      <c r="E12" s="253">
        <v>5</v>
      </c>
      <c r="F12" s="203">
        <f t="shared" si="2"/>
        <v>75</v>
      </c>
      <c r="H12" s="265"/>
      <c r="I12" s="108"/>
      <c r="J12" s="255"/>
      <c r="K12" s="253"/>
      <c r="L12" s="203"/>
      <c r="N12" s="265"/>
      <c r="O12" s="108"/>
      <c r="P12" s="255"/>
      <c r="Q12" s="253"/>
      <c r="R12" s="203"/>
      <c r="T12" s="280" t="s">
        <v>865</v>
      </c>
      <c r="U12" s="90">
        <v>30005</v>
      </c>
    </row>
    <row r="13" spans="2:24" ht="15.75" x14ac:dyDescent="0.25">
      <c r="B13" s="265"/>
      <c r="C13" s="108"/>
      <c r="D13" s="255"/>
      <c r="E13" s="253"/>
      <c r="F13" s="203"/>
      <c r="H13" s="265"/>
      <c r="I13" s="108"/>
      <c r="J13" s="255"/>
      <c r="K13" s="253"/>
      <c r="L13" s="203"/>
      <c r="N13" s="265"/>
      <c r="O13" s="108"/>
      <c r="P13" s="255"/>
      <c r="Q13" s="253"/>
      <c r="R13" s="203"/>
      <c r="T13" s="280" t="s">
        <v>856</v>
      </c>
      <c r="U13" s="90">
        <v>900</v>
      </c>
    </row>
    <row r="14" spans="2:24" ht="15.75" x14ac:dyDescent="0.25">
      <c r="B14" s="304" t="s">
        <v>8</v>
      </c>
      <c r="C14" s="108"/>
      <c r="D14" s="255"/>
      <c r="E14" s="253"/>
      <c r="F14" s="203">
        <f>SUM(F4:F13)</f>
        <v>42112.2</v>
      </c>
      <c r="H14" s="304" t="s">
        <v>8</v>
      </c>
      <c r="I14" s="108"/>
      <c r="J14" s="255"/>
      <c r="K14" s="253"/>
      <c r="L14" s="203">
        <f>SUM(L4:L13)</f>
        <v>15066</v>
      </c>
      <c r="N14" s="266"/>
      <c r="O14" s="108"/>
      <c r="P14" s="255"/>
      <c r="Q14" s="253"/>
      <c r="R14" s="203">
        <f>SUM(R4:R13)</f>
        <v>4630</v>
      </c>
      <c r="T14" s="280" t="s">
        <v>873</v>
      </c>
      <c r="U14" s="90">
        <v>4000</v>
      </c>
    </row>
    <row r="15" spans="2:24" ht="15" x14ac:dyDescent="0.25">
      <c r="B15" s="216" t="s">
        <v>512</v>
      </c>
      <c r="C15" s="217"/>
      <c r="D15" s="217"/>
      <c r="E15" s="217"/>
      <c r="F15" s="218"/>
      <c r="H15" s="216" t="s">
        <v>512</v>
      </c>
      <c r="I15" s="217"/>
      <c r="J15" s="217"/>
      <c r="K15" s="217"/>
      <c r="L15" s="218"/>
      <c r="N15" s="216" t="s">
        <v>512</v>
      </c>
      <c r="O15" s="217"/>
      <c r="P15" s="217"/>
      <c r="Q15" s="217"/>
      <c r="R15" s="218"/>
      <c r="T15" s="319" t="s">
        <v>855</v>
      </c>
      <c r="U15" s="90">
        <v>4630</v>
      </c>
      <c r="W15" s="90"/>
    </row>
    <row r="16" spans="2:24" ht="15" x14ac:dyDescent="0.25">
      <c r="B16" s="219"/>
      <c r="C16" s="220"/>
      <c r="D16" s="221"/>
      <c r="E16" s="221"/>
      <c r="F16" s="222">
        <f>C16*140</f>
        <v>0</v>
      </c>
      <c r="H16" s="219"/>
      <c r="I16" s="220"/>
      <c r="J16" s="221"/>
      <c r="K16" s="221"/>
      <c r="L16" s="222">
        <f>I16*140</f>
        <v>0</v>
      </c>
      <c r="N16" s="290" t="s">
        <v>852</v>
      </c>
      <c r="O16" s="291">
        <v>3000</v>
      </c>
      <c r="P16" s="326" t="s">
        <v>247</v>
      </c>
      <c r="Q16" s="292">
        <v>22.6</v>
      </c>
      <c r="R16" s="203">
        <f>O16*Q16</f>
        <v>67800</v>
      </c>
      <c r="U16" s="91">
        <f>SUM(U12:U15)</f>
        <v>39535</v>
      </c>
      <c r="V16" s="90">
        <v>90000</v>
      </c>
      <c r="W16" s="91">
        <f>V16-U16</f>
        <v>50465</v>
      </c>
    </row>
    <row r="17" spans="2:27" ht="15" x14ac:dyDescent="0.25">
      <c r="B17" s="219"/>
      <c r="C17" s="220"/>
      <c r="D17" s="221"/>
      <c r="E17" s="221"/>
      <c r="F17" s="222">
        <f t="shared" ref="F17:F18" si="3">C17*140</f>
        <v>0</v>
      </c>
      <c r="H17" s="219"/>
      <c r="I17" s="220"/>
      <c r="J17" s="221"/>
      <c r="K17" s="221"/>
      <c r="L17" s="222">
        <f t="shared" ref="L17:L18" si="4">I17*140</f>
        <v>0</v>
      </c>
      <c r="N17" s="290" t="s">
        <v>853</v>
      </c>
      <c r="O17" s="291">
        <v>1500</v>
      </c>
      <c r="P17" s="326" t="s">
        <v>247</v>
      </c>
      <c r="Q17" s="292">
        <v>3.28</v>
      </c>
      <c r="R17" s="203">
        <f>O17*Q17</f>
        <v>4920</v>
      </c>
      <c r="U17" s="286">
        <v>80</v>
      </c>
      <c r="V17">
        <v>80</v>
      </c>
    </row>
    <row r="18" spans="2:27" ht="15" x14ac:dyDescent="0.25">
      <c r="B18" s="219"/>
      <c r="C18" s="220"/>
      <c r="D18" s="221"/>
      <c r="E18" s="221"/>
      <c r="F18" s="222">
        <f t="shared" si="3"/>
        <v>0</v>
      </c>
      <c r="H18" s="219"/>
      <c r="I18" s="220"/>
      <c r="J18" s="221"/>
      <c r="K18" s="221"/>
      <c r="L18" s="222">
        <f t="shared" si="4"/>
        <v>0</v>
      </c>
      <c r="N18" s="290" t="s">
        <v>854</v>
      </c>
      <c r="O18" s="291">
        <v>1500</v>
      </c>
      <c r="P18" s="326" t="s">
        <v>247</v>
      </c>
      <c r="Q18" s="292">
        <v>4.2699999999999996</v>
      </c>
      <c r="R18" s="203">
        <f>O18*Q18</f>
        <v>6404.9999999999991</v>
      </c>
      <c r="U18" s="90">
        <f>U16*U17</f>
        <v>3162800</v>
      </c>
      <c r="V18" s="90">
        <f>V16*V17</f>
        <v>7200000</v>
      </c>
      <c r="W18" s="91">
        <f>V18-U18</f>
        <v>4037200</v>
      </c>
    </row>
    <row r="19" spans="2:27" ht="15.75" x14ac:dyDescent="0.25">
      <c r="B19" s="304" t="s">
        <v>8</v>
      </c>
      <c r="C19" s="108"/>
      <c r="D19" s="255"/>
      <c r="E19" s="253"/>
      <c r="F19" s="203">
        <f>SUM(F16:F18)</f>
        <v>0</v>
      </c>
      <c r="H19" s="304" t="s">
        <v>8</v>
      </c>
      <c r="I19" s="108"/>
      <c r="J19" s="255"/>
      <c r="K19" s="253"/>
      <c r="L19" s="203">
        <f>SUM(L16:L18)</f>
        <v>0</v>
      </c>
      <c r="N19" s="219"/>
      <c r="O19" s="220"/>
      <c r="P19" s="221"/>
      <c r="Q19" s="293"/>
      <c r="R19" s="349">
        <f>SUM(R16:R18)</f>
        <v>79125</v>
      </c>
      <c r="S19" s="91">
        <f>R19/20</f>
        <v>3956.25</v>
      </c>
    </row>
    <row r="20" spans="2:27" ht="15" x14ac:dyDescent="0.25">
      <c r="B20" s="357" t="s">
        <v>510</v>
      </c>
      <c r="C20" s="358"/>
      <c r="D20" s="358"/>
      <c r="E20" s="358"/>
      <c r="F20" s="359"/>
      <c r="H20" s="357" t="s">
        <v>510</v>
      </c>
      <c r="I20" s="358"/>
      <c r="J20" s="358"/>
      <c r="K20" s="358"/>
      <c r="L20" s="359"/>
      <c r="N20" s="357" t="s">
        <v>510</v>
      </c>
      <c r="O20" s="358"/>
      <c r="P20" s="358"/>
      <c r="Q20" s="358"/>
      <c r="R20" s="359"/>
      <c r="T20" s="146" t="s">
        <v>866</v>
      </c>
      <c r="U20" s="146" t="s">
        <v>872</v>
      </c>
      <c r="V20" s="146" t="s">
        <v>871</v>
      </c>
      <c r="W20" s="146" t="s">
        <v>859</v>
      </c>
      <c r="X20" s="146" t="s">
        <v>861</v>
      </c>
      <c r="Z20" s="146" t="s">
        <v>859</v>
      </c>
      <c r="AA20" s="146" t="s">
        <v>861</v>
      </c>
    </row>
    <row r="21" spans="2:27" ht="15" x14ac:dyDescent="0.25">
      <c r="B21" s="219" t="s">
        <v>511</v>
      </c>
      <c r="C21" s="223"/>
      <c r="D21" s="223"/>
      <c r="E21" s="224"/>
      <c r="F21" s="225">
        <f>F14+F19</f>
        <v>42112.2</v>
      </c>
      <c r="H21" s="219" t="s">
        <v>511</v>
      </c>
      <c r="I21" s="223"/>
      <c r="J21" s="223"/>
      <c r="K21" s="224"/>
      <c r="L21" s="225">
        <f>L14+L19</f>
        <v>15066</v>
      </c>
      <c r="N21" s="219" t="s">
        <v>511</v>
      </c>
      <c r="O21" s="223"/>
      <c r="P21" s="223"/>
      <c r="Q21" s="224"/>
      <c r="R21" s="225">
        <f>R14+R19</f>
        <v>83755</v>
      </c>
      <c r="T21" s="280" t="s">
        <v>867</v>
      </c>
      <c r="U21" s="90">
        <v>3787</v>
      </c>
      <c r="V21" s="90">
        <f>U21*160</f>
        <v>605920</v>
      </c>
      <c r="W21" s="90">
        <v>8000</v>
      </c>
      <c r="X21">
        <f>W21-U21</f>
        <v>4213</v>
      </c>
      <c r="Y21">
        <v>160</v>
      </c>
      <c r="Z21" s="90">
        <f>W21*Y21</f>
        <v>1280000</v>
      </c>
      <c r="AA21" s="91">
        <f>Z21-V21</f>
        <v>674080</v>
      </c>
    </row>
    <row r="22" spans="2:27" ht="15" x14ac:dyDescent="0.25">
      <c r="B22" s="226" t="s">
        <v>17</v>
      </c>
      <c r="C22" s="223"/>
      <c r="D22" s="223"/>
      <c r="E22" s="224"/>
      <c r="F22" s="227">
        <f>F21*0.1</f>
        <v>4211.22</v>
      </c>
      <c r="H22" s="226" t="s">
        <v>17</v>
      </c>
      <c r="I22" s="223"/>
      <c r="J22" s="223"/>
      <c r="K22" s="224"/>
      <c r="L22" s="227">
        <f>L21*0.1</f>
        <v>1506.6000000000001</v>
      </c>
      <c r="N22" s="226" t="s">
        <v>17</v>
      </c>
      <c r="O22" s="223"/>
      <c r="P22" s="223"/>
      <c r="Q22" s="224"/>
      <c r="R22" s="227">
        <f>R21*0.1</f>
        <v>8375.5</v>
      </c>
      <c r="T22" s="280" t="s">
        <v>868</v>
      </c>
      <c r="U22" s="90">
        <v>3462</v>
      </c>
      <c r="V22" s="90">
        <f t="shared" ref="V22:V23" si="5">U22*160</f>
        <v>553920</v>
      </c>
      <c r="W22" s="90">
        <v>8000</v>
      </c>
      <c r="X22">
        <f>W22-U22</f>
        <v>4538</v>
      </c>
      <c r="Y22">
        <v>160</v>
      </c>
      <c r="Z22" s="90">
        <f>W22*Y22</f>
        <v>1280000</v>
      </c>
      <c r="AA22" s="91">
        <f t="shared" ref="AA22:AA23" si="6">Z22-V22</f>
        <v>726080</v>
      </c>
    </row>
    <row r="23" spans="2:27" ht="15" x14ac:dyDescent="0.25">
      <c r="B23" s="226" t="s">
        <v>18</v>
      </c>
      <c r="C23" s="223"/>
      <c r="D23" s="223"/>
      <c r="E23" s="224"/>
      <c r="F23" s="227">
        <f>SUM(F21:F22)</f>
        <v>46323.42</v>
      </c>
      <c r="H23" s="226" t="s">
        <v>18</v>
      </c>
      <c r="I23" s="223"/>
      <c r="J23" s="223"/>
      <c r="K23" s="224"/>
      <c r="L23" s="227">
        <f>SUM(L21:L22)</f>
        <v>16572.599999999999</v>
      </c>
      <c r="N23" s="226" t="s">
        <v>18</v>
      </c>
      <c r="O23" s="223"/>
      <c r="P23" s="223"/>
      <c r="Q23" s="224"/>
      <c r="R23" s="227">
        <f>SUM(R21:R22)</f>
        <v>92130.5</v>
      </c>
      <c r="T23" s="280" t="s">
        <v>869</v>
      </c>
      <c r="U23" s="90">
        <v>3079</v>
      </c>
      <c r="V23" s="90">
        <f t="shared" si="5"/>
        <v>492640</v>
      </c>
      <c r="W23" s="90">
        <v>8000</v>
      </c>
      <c r="X23">
        <f>W23-U23</f>
        <v>4921</v>
      </c>
      <c r="Y23">
        <v>160</v>
      </c>
      <c r="Z23" s="90">
        <f>W23*Y23</f>
        <v>1280000</v>
      </c>
      <c r="AA23" s="91">
        <f t="shared" si="6"/>
        <v>787360</v>
      </c>
    </row>
    <row r="24" spans="2:27" ht="15" x14ac:dyDescent="0.25">
      <c r="B24" s="219" t="s">
        <v>435</v>
      </c>
      <c r="C24" s="223"/>
      <c r="D24" s="223"/>
      <c r="E24" s="224"/>
      <c r="F24" s="225">
        <v>45000</v>
      </c>
      <c r="H24" s="219" t="s">
        <v>435</v>
      </c>
      <c r="I24" s="223"/>
      <c r="J24" s="223"/>
      <c r="K24" s="224"/>
      <c r="L24" s="225">
        <v>50000</v>
      </c>
      <c r="N24" s="219" t="s">
        <v>435</v>
      </c>
      <c r="O24" s="223"/>
      <c r="P24" s="223"/>
      <c r="Q24" s="224"/>
      <c r="R24" s="225">
        <v>30000</v>
      </c>
      <c r="T24" s="280" t="s">
        <v>870</v>
      </c>
      <c r="U24" s="90"/>
      <c r="V24" s="90"/>
      <c r="W24" s="90">
        <v>3000</v>
      </c>
      <c r="Y24">
        <v>160</v>
      </c>
      <c r="Z24" s="90">
        <f>W24*Y24</f>
        <v>480000</v>
      </c>
    </row>
    <row r="25" spans="2:27" ht="15.75" thickBot="1" x14ac:dyDescent="0.3">
      <c r="B25" s="228"/>
      <c r="C25" s="229"/>
      <c r="D25" s="229"/>
      <c r="E25" s="229"/>
      <c r="F25" s="230"/>
      <c r="H25" s="228"/>
      <c r="I25" s="229"/>
      <c r="J25" s="229"/>
      <c r="K25" s="229"/>
      <c r="L25" s="230"/>
      <c r="N25" s="228"/>
      <c r="O25" s="229"/>
      <c r="P25" s="229"/>
      <c r="Q25" s="229"/>
      <c r="R25" s="230"/>
      <c r="V25" s="146" t="s">
        <v>875</v>
      </c>
      <c r="W25" s="146" t="s">
        <v>876</v>
      </c>
    </row>
    <row r="26" spans="2:27" ht="16.5" thickBot="1" x14ac:dyDescent="0.3">
      <c r="T26" s="352" t="s">
        <v>874</v>
      </c>
      <c r="U26" s="353">
        <f>V18+Z23</f>
        <v>8480000</v>
      </c>
      <c r="V26" s="353">
        <f>U18+V21</f>
        <v>3768720</v>
      </c>
      <c r="W26" s="353">
        <f>U26-V26</f>
        <v>4711280</v>
      </c>
    </row>
    <row r="27" spans="2:27" ht="15" x14ac:dyDescent="0.25">
      <c r="B27" s="354" t="s">
        <v>837</v>
      </c>
      <c r="C27" s="355"/>
      <c r="D27" s="355"/>
      <c r="E27" s="355"/>
      <c r="F27" s="356"/>
      <c r="H27" s="354" t="s">
        <v>349</v>
      </c>
      <c r="I27" s="355"/>
      <c r="J27" s="355"/>
      <c r="K27" s="355"/>
      <c r="L27" s="356"/>
      <c r="N27" s="354" t="s">
        <v>527</v>
      </c>
      <c r="O27" s="355"/>
      <c r="P27" s="355"/>
      <c r="Q27" s="355"/>
      <c r="R27" s="356"/>
    </row>
    <row r="28" spans="2:27" ht="15.75" thickBot="1" x14ac:dyDescent="0.3">
      <c r="B28" s="197" t="s">
        <v>3</v>
      </c>
      <c r="C28" s="197" t="s">
        <v>507</v>
      </c>
      <c r="D28" s="197" t="s">
        <v>508</v>
      </c>
      <c r="E28" s="197" t="s">
        <v>513</v>
      </c>
      <c r="F28" s="256" t="s">
        <v>509</v>
      </c>
      <c r="H28" s="197" t="s">
        <v>3</v>
      </c>
      <c r="I28" s="197" t="s">
        <v>507</v>
      </c>
      <c r="J28" s="197" t="s">
        <v>508</v>
      </c>
      <c r="K28" s="197" t="s">
        <v>513</v>
      </c>
      <c r="L28" s="256" t="s">
        <v>509</v>
      </c>
      <c r="N28" s="197" t="s">
        <v>3</v>
      </c>
      <c r="O28" s="197" t="s">
        <v>507</v>
      </c>
      <c r="P28" s="197" t="s">
        <v>508</v>
      </c>
      <c r="Q28" s="197" t="s">
        <v>513</v>
      </c>
      <c r="R28" s="256" t="s">
        <v>509</v>
      </c>
    </row>
    <row r="29" spans="2:27" ht="15.75" x14ac:dyDescent="0.25">
      <c r="B29" s="257" t="s">
        <v>838</v>
      </c>
      <c r="C29" s="258">
        <v>150</v>
      </c>
      <c r="D29" s="259" t="s">
        <v>249</v>
      </c>
      <c r="E29" s="331">
        <v>3.59</v>
      </c>
      <c r="F29" s="261">
        <f>C29*E29</f>
        <v>538.5</v>
      </c>
      <c r="H29" s="257" t="s">
        <v>330</v>
      </c>
      <c r="I29" s="258">
        <v>50</v>
      </c>
      <c r="J29" s="259" t="s">
        <v>12</v>
      </c>
      <c r="K29" s="321">
        <v>6.9</v>
      </c>
      <c r="L29" s="261">
        <f>I29*K29</f>
        <v>345</v>
      </c>
      <c r="N29" s="257"/>
      <c r="O29" s="258"/>
      <c r="P29" s="259" t="s">
        <v>12</v>
      </c>
      <c r="Q29" s="260"/>
      <c r="R29" s="261">
        <f>O29*Q29</f>
        <v>0</v>
      </c>
    </row>
    <row r="30" spans="2:27" ht="15.75" x14ac:dyDescent="0.25">
      <c r="B30" s="262" t="s">
        <v>679</v>
      </c>
      <c r="C30" s="108">
        <v>50</v>
      </c>
      <c r="D30" s="255" t="s">
        <v>249</v>
      </c>
      <c r="E30" s="320">
        <v>16.100000000000001</v>
      </c>
      <c r="F30" s="203">
        <f t="shared" ref="F30:F36" si="7">C30*E30</f>
        <v>805.00000000000011</v>
      </c>
      <c r="H30" s="262" t="s">
        <v>841</v>
      </c>
      <c r="I30" s="108">
        <v>20</v>
      </c>
      <c r="J30" s="254" t="s">
        <v>12</v>
      </c>
      <c r="K30" s="253">
        <v>4</v>
      </c>
      <c r="L30" s="203">
        <f t="shared" ref="L30:L37" si="8">I30*K30</f>
        <v>80</v>
      </c>
      <c r="N30" s="262"/>
      <c r="O30" s="108"/>
      <c r="P30" s="254" t="s">
        <v>12</v>
      </c>
      <c r="Q30" s="253"/>
      <c r="R30" s="203">
        <f t="shared" ref="R30:R37" si="9">O30*Q30</f>
        <v>0</v>
      </c>
    </row>
    <row r="31" spans="2:27" ht="15.75" x14ac:dyDescent="0.25">
      <c r="B31" s="262" t="s">
        <v>839</v>
      </c>
      <c r="C31" s="108">
        <v>2</v>
      </c>
      <c r="D31" s="255" t="s">
        <v>249</v>
      </c>
      <c r="E31" s="253">
        <v>15</v>
      </c>
      <c r="F31" s="203">
        <f t="shared" si="7"/>
        <v>30</v>
      </c>
      <c r="H31" s="262" t="s">
        <v>842</v>
      </c>
      <c r="I31" s="108">
        <v>15</v>
      </c>
      <c r="J31" s="254" t="s">
        <v>12</v>
      </c>
      <c r="K31" s="253">
        <v>23.6</v>
      </c>
      <c r="L31" s="203">
        <f t="shared" si="8"/>
        <v>354</v>
      </c>
      <c r="N31" s="262"/>
      <c r="O31" s="108"/>
      <c r="P31" s="254" t="s">
        <v>12</v>
      </c>
      <c r="Q31" s="253"/>
      <c r="R31" s="203">
        <f t="shared" si="9"/>
        <v>0</v>
      </c>
    </row>
    <row r="32" spans="2:27" ht="15.75" x14ac:dyDescent="0.25">
      <c r="B32" s="262" t="s">
        <v>840</v>
      </c>
      <c r="C32" s="108">
        <v>5</v>
      </c>
      <c r="D32" s="255" t="s">
        <v>249</v>
      </c>
      <c r="E32" s="320">
        <v>26</v>
      </c>
      <c r="F32" s="203">
        <f t="shared" si="7"/>
        <v>130</v>
      </c>
      <c r="H32" s="262" t="s">
        <v>764</v>
      </c>
      <c r="I32" s="108">
        <v>25</v>
      </c>
      <c r="J32" s="254" t="s">
        <v>12</v>
      </c>
      <c r="K32" s="253">
        <v>4</v>
      </c>
      <c r="L32" s="203">
        <f t="shared" si="8"/>
        <v>100</v>
      </c>
      <c r="N32" s="262"/>
      <c r="O32" s="108"/>
      <c r="P32" s="254" t="s">
        <v>12</v>
      </c>
      <c r="Q32" s="253"/>
      <c r="R32" s="203">
        <f t="shared" si="9"/>
        <v>0</v>
      </c>
    </row>
    <row r="33" spans="2:18" ht="15" x14ac:dyDescent="0.25">
      <c r="B33" s="262"/>
      <c r="C33" s="108"/>
      <c r="D33" s="254"/>
      <c r="E33" s="253"/>
      <c r="F33" s="203">
        <f t="shared" si="7"/>
        <v>0</v>
      </c>
      <c r="H33" s="262" t="s">
        <v>843</v>
      </c>
      <c r="I33" s="108">
        <v>2</v>
      </c>
      <c r="J33" s="254" t="s">
        <v>59</v>
      </c>
      <c r="K33" s="253">
        <v>12</v>
      </c>
      <c r="L33" s="203">
        <f t="shared" si="8"/>
        <v>24</v>
      </c>
      <c r="N33" s="262"/>
      <c r="O33" s="108"/>
      <c r="P33" s="254" t="s">
        <v>59</v>
      </c>
      <c r="Q33" s="253"/>
      <c r="R33" s="203">
        <f t="shared" si="9"/>
        <v>0</v>
      </c>
    </row>
    <row r="34" spans="2:18" ht="15" x14ac:dyDescent="0.25">
      <c r="B34" s="262"/>
      <c r="C34" s="108"/>
      <c r="D34" s="254"/>
      <c r="E34" s="253"/>
      <c r="F34" s="203">
        <f t="shared" si="7"/>
        <v>0</v>
      </c>
      <c r="H34" s="262"/>
      <c r="I34" s="108"/>
      <c r="J34" s="254" t="s">
        <v>59</v>
      </c>
      <c r="K34" s="253"/>
      <c r="L34" s="203">
        <f t="shared" si="8"/>
        <v>0</v>
      </c>
      <c r="N34" s="262"/>
      <c r="O34" s="108"/>
      <c r="P34" s="254" t="s">
        <v>59</v>
      </c>
      <c r="Q34" s="253"/>
      <c r="R34" s="203">
        <f t="shared" si="9"/>
        <v>0</v>
      </c>
    </row>
    <row r="35" spans="2:18" ht="15.75" x14ac:dyDescent="0.25">
      <c r="B35" s="262"/>
      <c r="C35" s="108"/>
      <c r="D35" s="255"/>
      <c r="E35" s="253"/>
      <c r="F35" s="203">
        <f t="shared" si="7"/>
        <v>0</v>
      </c>
      <c r="H35" s="262"/>
      <c r="I35" s="108"/>
      <c r="J35" s="255" t="s">
        <v>12</v>
      </c>
      <c r="K35" s="253"/>
      <c r="L35" s="203">
        <f t="shared" si="8"/>
        <v>0</v>
      </c>
      <c r="N35" s="262"/>
      <c r="O35" s="108"/>
      <c r="P35" s="255" t="s">
        <v>12</v>
      </c>
      <c r="Q35" s="253"/>
      <c r="R35" s="203">
        <f t="shared" si="9"/>
        <v>0</v>
      </c>
    </row>
    <row r="36" spans="2:18" ht="15.75" x14ac:dyDescent="0.25">
      <c r="B36" s="265"/>
      <c r="C36" s="108"/>
      <c r="D36" s="255"/>
      <c r="E36" s="253"/>
      <c r="F36" s="203">
        <f t="shared" si="7"/>
        <v>0</v>
      </c>
      <c r="H36" s="265"/>
      <c r="I36" s="108"/>
      <c r="J36" s="255"/>
      <c r="K36" s="253"/>
      <c r="L36" s="203">
        <f t="shared" si="8"/>
        <v>0</v>
      </c>
      <c r="N36" s="265"/>
      <c r="O36" s="108"/>
      <c r="P36" s="255"/>
      <c r="Q36" s="253"/>
      <c r="R36" s="203">
        <f t="shared" si="9"/>
        <v>0</v>
      </c>
    </row>
    <row r="37" spans="2:18" ht="15.75" x14ac:dyDescent="0.25">
      <c r="B37" s="266"/>
      <c r="C37" s="108"/>
      <c r="D37" s="255"/>
      <c r="E37" s="253"/>
      <c r="F37" s="203">
        <f>SUM(F29:F36)</f>
        <v>1503.5</v>
      </c>
      <c r="H37" s="266"/>
      <c r="I37" s="108"/>
      <c r="J37" s="255"/>
      <c r="K37" s="253"/>
      <c r="L37" s="203">
        <f t="shared" si="8"/>
        <v>0</v>
      </c>
      <c r="N37" s="266"/>
      <c r="O37" s="108"/>
      <c r="P37" s="255"/>
      <c r="Q37" s="253"/>
      <c r="R37" s="203">
        <f t="shared" si="9"/>
        <v>0</v>
      </c>
    </row>
    <row r="38" spans="2:18" ht="15" x14ac:dyDescent="0.25">
      <c r="B38" s="216" t="s">
        <v>512</v>
      </c>
      <c r="C38" s="217"/>
      <c r="D38" s="217"/>
      <c r="E38" s="217"/>
      <c r="F38" s="218"/>
      <c r="H38" s="216" t="s">
        <v>512</v>
      </c>
      <c r="I38" s="217"/>
      <c r="J38" s="217"/>
      <c r="K38" s="217"/>
      <c r="L38" s="218"/>
      <c r="N38" s="216" t="s">
        <v>512</v>
      </c>
      <c r="O38" s="217"/>
      <c r="P38" s="217"/>
      <c r="Q38" s="217"/>
      <c r="R38" s="218"/>
    </row>
    <row r="39" spans="2:18" ht="15" x14ac:dyDescent="0.25">
      <c r="B39" s="219"/>
      <c r="C39" s="220"/>
      <c r="D39" s="221"/>
      <c r="E39" s="221"/>
      <c r="F39" s="222">
        <f>C39*140</f>
        <v>0</v>
      </c>
      <c r="H39" s="219"/>
      <c r="I39" s="220"/>
      <c r="J39" s="221"/>
      <c r="K39" s="221"/>
      <c r="L39" s="222">
        <f>I39*140</f>
        <v>0</v>
      </c>
      <c r="N39" s="219"/>
      <c r="O39" s="220"/>
      <c r="P39" s="221"/>
      <c r="Q39" s="221"/>
      <c r="R39" s="222">
        <f>O39*140</f>
        <v>0</v>
      </c>
    </row>
    <row r="40" spans="2:18" ht="15" x14ac:dyDescent="0.25">
      <c r="B40" s="219"/>
      <c r="C40" s="220"/>
      <c r="D40" s="221"/>
      <c r="E40" s="221"/>
      <c r="F40" s="222">
        <f t="shared" ref="F40" si="10">C40*140</f>
        <v>0</v>
      </c>
      <c r="H40" s="219"/>
      <c r="I40" s="220"/>
      <c r="J40" s="221"/>
      <c r="K40" s="221"/>
      <c r="L40" s="222">
        <f t="shared" ref="L40:L41" si="11">I40*140</f>
        <v>0</v>
      </c>
      <c r="N40" s="219"/>
      <c r="O40" s="220"/>
      <c r="P40" s="221"/>
      <c r="Q40" s="221"/>
      <c r="R40" s="222">
        <f t="shared" ref="R40:R41" si="12">O40*140</f>
        <v>0</v>
      </c>
    </row>
    <row r="41" spans="2:18" ht="15" x14ac:dyDescent="0.25">
      <c r="B41" s="219"/>
      <c r="C41" s="220"/>
      <c r="D41" s="221"/>
      <c r="E41" s="221"/>
      <c r="F41" s="222">
        <f>SUM(F39:F40)</f>
        <v>0</v>
      </c>
      <c r="H41" s="219"/>
      <c r="I41" s="220"/>
      <c r="J41" s="221"/>
      <c r="K41" s="221"/>
      <c r="L41" s="222">
        <f t="shared" si="11"/>
        <v>0</v>
      </c>
      <c r="N41" s="219"/>
      <c r="O41" s="220"/>
      <c r="P41" s="221"/>
      <c r="Q41" s="221"/>
      <c r="R41" s="222">
        <f t="shared" si="12"/>
        <v>0</v>
      </c>
    </row>
    <row r="42" spans="2:18" ht="15" x14ac:dyDescent="0.25">
      <c r="B42" s="357" t="s">
        <v>510</v>
      </c>
      <c r="C42" s="358"/>
      <c r="D42" s="358"/>
      <c r="E42" s="358"/>
      <c r="F42" s="359"/>
      <c r="H42" s="357" t="s">
        <v>510</v>
      </c>
      <c r="I42" s="358"/>
      <c r="J42" s="358"/>
      <c r="K42" s="358"/>
      <c r="L42" s="359"/>
      <c r="N42" s="357" t="s">
        <v>510</v>
      </c>
      <c r="O42" s="358"/>
      <c r="P42" s="358"/>
      <c r="Q42" s="358"/>
      <c r="R42" s="359"/>
    </row>
    <row r="43" spans="2:18" ht="15" x14ac:dyDescent="0.25">
      <c r="B43" s="219" t="s">
        <v>511</v>
      </c>
      <c r="C43" s="223"/>
      <c r="D43" s="223"/>
      <c r="E43" s="224"/>
      <c r="F43" s="225">
        <f>F37+F41</f>
        <v>1503.5</v>
      </c>
      <c r="H43" s="219" t="s">
        <v>511</v>
      </c>
      <c r="I43" s="223"/>
      <c r="J43" s="223"/>
      <c r="K43" s="224"/>
      <c r="L43" s="225">
        <f>(L29+L30+L31+L32+L33+L34+L35+L36+L37+L41)</f>
        <v>903</v>
      </c>
      <c r="N43" s="219" t="s">
        <v>511</v>
      </c>
      <c r="O43" s="223"/>
      <c r="P43" s="223"/>
      <c r="Q43" s="224"/>
      <c r="R43" s="225">
        <f>(R29+R30+R31+R32+R33+R34+R35+R36+R37+R41)</f>
        <v>0</v>
      </c>
    </row>
    <row r="44" spans="2:18" ht="15" x14ac:dyDescent="0.25">
      <c r="B44" s="226" t="s">
        <v>17</v>
      </c>
      <c r="C44" s="223"/>
      <c r="D44" s="223"/>
      <c r="E44" s="224"/>
      <c r="F44" s="227">
        <f>F43*0.1</f>
        <v>150.35</v>
      </c>
      <c r="H44" s="226" t="s">
        <v>17</v>
      </c>
      <c r="I44" s="223"/>
      <c r="J44" s="223"/>
      <c r="K44" s="224"/>
      <c r="L44" s="227">
        <f>L43*0.1</f>
        <v>90.300000000000011</v>
      </c>
      <c r="N44" s="226" t="s">
        <v>17</v>
      </c>
      <c r="O44" s="223"/>
      <c r="P44" s="223"/>
      <c r="Q44" s="224"/>
      <c r="R44" s="227">
        <f>R43*0.1</f>
        <v>0</v>
      </c>
    </row>
    <row r="45" spans="2:18" ht="15" x14ac:dyDescent="0.25">
      <c r="B45" s="226" t="s">
        <v>18</v>
      </c>
      <c r="C45" s="223"/>
      <c r="D45" s="223"/>
      <c r="E45" s="224"/>
      <c r="F45" s="227">
        <f>SUM(F43:F44)</f>
        <v>1653.85</v>
      </c>
      <c r="H45" s="226" t="s">
        <v>18</v>
      </c>
      <c r="I45" s="223"/>
      <c r="J45" s="223"/>
      <c r="K45" s="224"/>
      <c r="L45" s="227">
        <f>SUM(L43:L44)</f>
        <v>993.3</v>
      </c>
      <c r="N45" s="226" t="s">
        <v>18</v>
      </c>
      <c r="O45" s="223"/>
      <c r="P45" s="223"/>
      <c r="Q45" s="224"/>
      <c r="R45" s="227">
        <f>SUM(R43:R44)</f>
        <v>0</v>
      </c>
    </row>
    <row r="46" spans="2:18" ht="15" x14ac:dyDescent="0.25">
      <c r="B46" s="219" t="s">
        <v>435</v>
      </c>
      <c r="C46" s="223"/>
      <c r="D46" s="223"/>
      <c r="E46" s="224"/>
      <c r="F46" s="225">
        <v>30000</v>
      </c>
      <c r="H46" s="219" t="s">
        <v>435</v>
      </c>
      <c r="I46" s="223"/>
      <c r="J46" s="223"/>
      <c r="K46" s="224"/>
      <c r="L46" s="225">
        <v>30000</v>
      </c>
      <c r="N46" s="219" t="s">
        <v>435</v>
      </c>
      <c r="O46" s="223"/>
      <c r="P46" s="223"/>
      <c r="Q46" s="224"/>
      <c r="R46" s="225">
        <v>30000</v>
      </c>
    </row>
    <row r="47" spans="2:18" ht="15.75" thickBot="1" x14ac:dyDescent="0.3">
      <c r="B47" s="228"/>
      <c r="C47" s="229"/>
      <c r="D47" s="229"/>
      <c r="E47" s="229"/>
      <c r="F47" s="230"/>
      <c r="H47" s="228"/>
      <c r="I47" s="229"/>
      <c r="J47" s="229"/>
      <c r="K47" s="229"/>
      <c r="L47" s="230"/>
      <c r="N47" s="228"/>
      <c r="O47" s="229"/>
      <c r="P47" s="229"/>
      <c r="Q47" s="229"/>
      <c r="R47" s="230"/>
    </row>
    <row r="48" spans="2:18" ht="13.5" thickBot="1" x14ac:dyDescent="0.25"/>
    <row r="49" spans="2:18" ht="15" x14ac:dyDescent="0.25">
      <c r="B49" s="354" t="s">
        <v>527</v>
      </c>
      <c r="C49" s="355"/>
      <c r="D49" s="355"/>
      <c r="E49" s="355"/>
      <c r="F49" s="356"/>
      <c r="H49" s="354" t="s">
        <v>527</v>
      </c>
      <c r="I49" s="355"/>
      <c r="J49" s="355"/>
      <c r="K49" s="355"/>
      <c r="L49" s="356"/>
      <c r="N49" s="354" t="s">
        <v>527</v>
      </c>
      <c r="O49" s="355"/>
      <c r="P49" s="355"/>
      <c r="Q49" s="355"/>
      <c r="R49" s="356"/>
    </row>
    <row r="50" spans="2:18" ht="15.75" thickBot="1" x14ac:dyDescent="0.3">
      <c r="B50" s="197" t="s">
        <v>3</v>
      </c>
      <c r="C50" s="197" t="s">
        <v>507</v>
      </c>
      <c r="D50" s="197" t="s">
        <v>508</v>
      </c>
      <c r="E50" s="197" t="s">
        <v>513</v>
      </c>
      <c r="F50" s="256" t="s">
        <v>509</v>
      </c>
      <c r="H50" s="197" t="s">
        <v>3</v>
      </c>
      <c r="I50" s="197" t="s">
        <v>507</v>
      </c>
      <c r="J50" s="197" t="s">
        <v>508</v>
      </c>
      <c r="K50" s="197" t="s">
        <v>513</v>
      </c>
      <c r="L50" s="256" t="s">
        <v>509</v>
      </c>
      <c r="N50" s="197" t="s">
        <v>3</v>
      </c>
      <c r="O50" s="197" t="s">
        <v>507</v>
      </c>
      <c r="P50" s="197" t="s">
        <v>508</v>
      </c>
      <c r="Q50" s="197" t="s">
        <v>513</v>
      </c>
      <c r="R50" s="256" t="s">
        <v>509</v>
      </c>
    </row>
    <row r="51" spans="2:18" ht="15.75" x14ac:dyDescent="0.25">
      <c r="B51" s="257"/>
      <c r="C51" s="258"/>
      <c r="D51" s="259" t="s">
        <v>12</v>
      </c>
      <c r="E51" s="260"/>
      <c r="F51" s="261">
        <f>C51*E51</f>
        <v>0</v>
      </c>
      <c r="H51" s="257"/>
      <c r="I51" s="258"/>
      <c r="J51" s="259" t="s">
        <v>12</v>
      </c>
      <c r="K51" s="260"/>
      <c r="L51" s="261">
        <f>I51*K51</f>
        <v>0</v>
      </c>
      <c r="N51" s="257"/>
      <c r="O51" s="258"/>
      <c r="P51" s="259" t="s">
        <v>12</v>
      </c>
      <c r="Q51" s="260"/>
      <c r="R51" s="261">
        <f>O51*Q51</f>
        <v>0</v>
      </c>
    </row>
    <row r="52" spans="2:18" ht="15" x14ac:dyDescent="0.25">
      <c r="B52" s="262"/>
      <c r="C52" s="108"/>
      <c r="D52" s="254" t="s">
        <v>12</v>
      </c>
      <c r="E52" s="253"/>
      <c r="F52" s="203">
        <f t="shared" ref="F52:F59" si="13">C52*E52</f>
        <v>0</v>
      </c>
      <c r="H52" s="262"/>
      <c r="I52" s="108"/>
      <c r="J52" s="254" t="s">
        <v>12</v>
      </c>
      <c r="K52" s="253"/>
      <c r="L52" s="203">
        <f t="shared" ref="L52:L59" si="14">I52*K52</f>
        <v>0</v>
      </c>
      <c r="N52" s="262"/>
      <c r="O52" s="108"/>
      <c r="P52" s="254" t="s">
        <v>12</v>
      </c>
      <c r="Q52" s="253"/>
      <c r="R52" s="203">
        <f t="shared" ref="R52:R59" si="15">O52*Q52</f>
        <v>0</v>
      </c>
    </row>
    <row r="53" spans="2:18" ht="15" x14ac:dyDescent="0.25">
      <c r="B53" s="262"/>
      <c r="C53" s="108"/>
      <c r="D53" s="254" t="s">
        <v>12</v>
      </c>
      <c r="E53" s="253"/>
      <c r="F53" s="203">
        <f t="shared" si="13"/>
        <v>0</v>
      </c>
      <c r="H53" s="262"/>
      <c r="I53" s="108"/>
      <c r="J53" s="254" t="s">
        <v>12</v>
      </c>
      <c r="K53" s="253"/>
      <c r="L53" s="203">
        <f t="shared" si="14"/>
        <v>0</v>
      </c>
      <c r="N53" s="262"/>
      <c r="O53" s="108"/>
      <c r="P53" s="254" t="s">
        <v>12</v>
      </c>
      <c r="Q53" s="253"/>
      <c r="R53" s="203">
        <f t="shared" si="15"/>
        <v>0</v>
      </c>
    </row>
    <row r="54" spans="2:18" ht="15" x14ac:dyDescent="0.25">
      <c r="B54" s="262"/>
      <c r="C54" s="108"/>
      <c r="D54" s="254" t="s">
        <v>12</v>
      </c>
      <c r="E54" s="253"/>
      <c r="F54" s="203">
        <f t="shared" si="13"/>
        <v>0</v>
      </c>
      <c r="H54" s="262"/>
      <c r="I54" s="108"/>
      <c r="J54" s="254" t="s">
        <v>12</v>
      </c>
      <c r="K54" s="253"/>
      <c r="L54" s="203">
        <f t="shared" si="14"/>
        <v>0</v>
      </c>
      <c r="N54" s="262"/>
      <c r="O54" s="108"/>
      <c r="P54" s="254" t="s">
        <v>12</v>
      </c>
      <c r="Q54" s="253"/>
      <c r="R54" s="203">
        <f t="shared" si="15"/>
        <v>0</v>
      </c>
    </row>
    <row r="55" spans="2:18" ht="15" x14ac:dyDescent="0.25">
      <c r="B55" s="262"/>
      <c r="C55" s="108"/>
      <c r="D55" s="254" t="s">
        <v>59</v>
      </c>
      <c r="E55" s="253"/>
      <c r="F55" s="203">
        <f t="shared" si="13"/>
        <v>0</v>
      </c>
      <c r="H55" s="262"/>
      <c r="I55" s="108"/>
      <c r="J55" s="254" t="s">
        <v>59</v>
      </c>
      <c r="K55" s="253"/>
      <c r="L55" s="203">
        <f t="shared" si="14"/>
        <v>0</v>
      </c>
      <c r="N55" s="262"/>
      <c r="O55" s="108"/>
      <c r="P55" s="254" t="s">
        <v>59</v>
      </c>
      <c r="Q55" s="253"/>
      <c r="R55" s="203">
        <f t="shared" si="15"/>
        <v>0</v>
      </c>
    </row>
    <row r="56" spans="2:18" ht="15" x14ac:dyDescent="0.25">
      <c r="B56" s="262"/>
      <c r="C56" s="108"/>
      <c r="D56" s="254" t="s">
        <v>59</v>
      </c>
      <c r="E56" s="253"/>
      <c r="F56" s="203">
        <f t="shared" si="13"/>
        <v>0</v>
      </c>
      <c r="H56" s="262"/>
      <c r="I56" s="108"/>
      <c r="J56" s="254" t="s">
        <v>59</v>
      </c>
      <c r="K56" s="253"/>
      <c r="L56" s="203">
        <f t="shared" si="14"/>
        <v>0</v>
      </c>
      <c r="N56" s="262"/>
      <c r="O56" s="108"/>
      <c r="P56" s="254" t="s">
        <v>59</v>
      </c>
      <c r="Q56" s="253"/>
      <c r="R56" s="203">
        <f t="shared" si="15"/>
        <v>0</v>
      </c>
    </row>
    <row r="57" spans="2:18" ht="15.75" x14ac:dyDescent="0.25">
      <c r="B57" s="262"/>
      <c r="C57" s="108"/>
      <c r="D57" s="255" t="s">
        <v>12</v>
      </c>
      <c r="E57" s="253"/>
      <c r="F57" s="203">
        <f t="shared" si="13"/>
        <v>0</v>
      </c>
      <c r="H57" s="262"/>
      <c r="I57" s="108"/>
      <c r="J57" s="255" t="s">
        <v>12</v>
      </c>
      <c r="K57" s="253"/>
      <c r="L57" s="203">
        <f t="shared" si="14"/>
        <v>0</v>
      </c>
      <c r="N57" s="262"/>
      <c r="O57" s="108"/>
      <c r="P57" s="255" t="s">
        <v>12</v>
      </c>
      <c r="Q57" s="253"/>
      <c r="R57" s="203">
        <f t="shared" si="15"/>
        <v>0</v>
      </c>
    </row>
    <row r="58" spans="2:18" ht="15.75" x14ac:dyDescent="0.25">
      <c r="B58" s="265"/>
      <c r="C58" s="108"/>
      <c r="D58" s="255"/>
      <c r="E58" s="253"/>
      <c r="F58" s="203">
        <f t="shared" si="13"/>
        <v>0</v>
      </c>
      <c r="H58" s="265"/>
      <c r="I58" s="108"/>
      <c r="J58" s="255"/>
      <c r="K58" s="253"/>
      <c r="L58" s="203">
        <f t="shared" si="14"/>
        <v>0</v>
      </c>
      <c r="N58" s="265"/>
      <c r="O58" s="108"/>
      <c r="P58" s="255"/>
      <c r="Q58" s="253"/>
      <c r="R58" s="203">
        <f t="shared" si="15"/>
        <v>0</v>
      </c>
    </row>
    <row r="59" spans="2:18" ht="15.75" x14ac:dyDescent="0.25">
      <c r="B59" s="266"/>
      <c r="C59" s="108"/>
      <c r="D59" s="255"/>
      <c r="E59" s="253"/>
      <c r="F59" s="203">
        <f t="shared" si="13"/>
        <v>0</v>
      </c>
      <c r="H59" s="266"/>
      <c r="I59" s="108"/>
      <c r="J59" s="255"/>
      <c r="K59" s="253"/>
      <c r="L59" s="203">
        <f t="shared" si="14"/>
        <v>0</v>
      </c>
      <c r="N59" s="266"/>
      <c r="O59" s="108"/>
      <c r="P59" s="255"/>
      <c r="Q59" s="253"/>
      <c r="R59" s="203">
        <f t="shared" si="15"/>
        <v>0</v>
      </c>
    </row>
    <row r="60" spans="2:18" ht="15" x14ac:dyDescent="0.25">
      <c r="B60" s="216" t="s">
        <v>512</v>
      </c>
      <c r="C60" s="217"/>
      <c r="D60" s="217"/>
      <c r="E60" s="217"/>
      <c r="F60" s="218"/>
      <c r="H60" s="216" t="s">
        <v>512</v>
      </c>
      <c r="I60" s="217"/>
      <c r="J60" s="217"/>
      <c r="K60" s="217"/>
      <c r="L60" s="218"/>
      <c r="N60" s="216" t="s">
        <v>512</v>
      </c>
      <c r="O60" s="217"/>
      <c r="P60" s="217"/>
      <c r="Q60" s="217"/>
      <c r="R60" s="218"/>
    </row>
    <row r="61" spans="2:18" ht="15" x14ac:dyDescent="0.25">
      <c r="B61" s="219"/>
      <c r="C61" s="220"/>
      <c r="D61" s="221"/>
      <c r="E61" s="221"/>
      <c r="F61" s="222">
        <f>C61*140</f>
        <v>0</v>
      </c>
      <c r="H61" s="219"/>
      <c r="I61" s="220"/>
      <c r="J61" s="221"/>
      <c r="K61" s="221"/>
      <c r="L61" s="222">
        <f>I61*140</f>
        <v>0</v>
      </c>
      <c r="N61" s="219"/>
      <c r="O61" s="220"/>
      <c r="P61" s="221"/>
      <c r="Q61" s="221"/>
      <c r="R61" s="222">
        <f>O61*140</f>
        <v>0</v>
      </c>
    </row>
    <row r="62" spans="2:18" ht="15" x14ac:dyDescent="0.25">
      <c r="B62" s="219"/>
      <c r="C62" s="220"/>
      <c r="D62" s="221"/>
      <c r="E62" s="221"/>
      <c r="F62" s="222">
        <f t="shared" ref="F62:F63" si="16">C62*140</f>
        <v>0</v>
      </c>
      <c r="H62" s="219"/>
      <c r="I62" s="220"/>
      <c r="J62" s="221"/>
      <c r="K62" s="221"/>
      <c r="L62" s="222">
        <f t="shared" ref="L62:L63" si="17">I62*140</f>
        <v>0</v>
      </c>
      <c r="N62" s="219"/>
      <c r="O62" s="220"/>
      <c r="P62" s="221"/>
      <c r="Q62" s="221"/>
      <c r="R62" s="222">
        <f t="shared" ref="R62:R63" si="18">O62*140</f>
        <v>0</v>
      </c>
    </row>
    <row r="63" spans="2:18" ht="15" x14ac:dyDescent="0.25">
      <c r="B63" s="219"/>
      <c r="C63" s="220"/>
      <c r="D63" s="221"/>
      <c r="E63" s="221"/>
      <c r="F63" s="222">
        <f t="shared" si="16"/>
        <v>0</v>
      </c>
      <c r="H63" s="219"/>
      <c r="I63" s="220"/>
      <c r="J63" s="221"/>
      <c r="K63" s="221"/>
      <c r="L63" s="222">
        <f t="shared" si="17"/>
        <v>0</v>
      </c>
      <c r="N63" s="219"/>
      <c r="O63" s="220"/>
      <c r="P63" s="221"/>
      <c r="Q63" s="221"/>
      <c r="R63" s="222">
        <f t="shared" si="18"/>
        <v>0</v>
      </c>
    </row>
    <row r="64" spans="2:18" ht="15" x14ac:dyDescent="0.25">
      <c r="B64" s="357" t="s">
        <v>510</v>
      </c>
      <c r="C64" s="358"/>
      <c r="D64" s="358"/>
      <c r="E64" s="358"/>
      <c r="F64" s="359"/>
      <c r="H64" s="357" t="s">
        <v>510</v>
      </c>
      <c r="I64" s="358"/>
      <c r="J64" s="358"/>
      <c r="K64" s="358"/>
      <c r="L64" s="359"/>
      <c r="N64" s="357" t="s">
        <v>510</v>
      </c>
      <c r="O64" s="358"/>
      <c r="P64" s="358"/>
      <c r="Q64" s="358"/>
      <c r="R64" s="359"/>
    </row>
    <row r="65" spans="2:18" ht="15" x14ac:dyDescent="0.25">
      <c r="B65" s="219" t="s">
        <v>511</v>
      </c>
      <c r="C65" s="223"/>
      <c r="D65" s="223"/>
      <c r="E65" s="224"/>
      <c r="F65" s="225">
        <f>(F51+F52+F53+F54+F55+F56+F57+F58+F59+F63)</f>
        <v>0</v>
      </c>
      <c r="H65" s="219" t="s">
        <v>511</v>
      </c>
      <c r="I65" s="223"/>
      <c r="J65" s="223"/>
      <c r="K65" s="224"/>
      <c r="L65" s="225">
        <f>(L51+L52+L53+L54+L55+L56+L57+L58+L59+L63)</f>
        <v>0</v>
      </c>
      <c r="N65" s="219" t="s">
        <v>511</v>
      </c>
      <c r="O65" s="223"/>
      <c r="P65" s="223"/>
      <c r="Q65" s="224"/>
      <c r="R65" s="225">
        <f>(R51+R52+R53+R54+R55+R56+R57+R58+R59+R63)</f>
        <v>0</v>
      </c>
    </row>
    <row r="66" spans="2:18" ht="15" x14ac:dyDescent="0.25">
      <c r="B66" s="226" t="s">
        <v>17</v>
      </c>
      <c r="C66" s="223"/>
      <c r="D66" s="223"/>
      <c r="E66" s="224"/>
      <c r="F66" s="227">
        <f>F65*0.1</f>
        <v>0</v>
      </c>
      <c r="H66" s="226" t="s">
        <v>17</v>
      </c>
      <c r="I66" s="223"/>
      <c r="J66" s="223"/>
      <c r="K66" s="224"/>
      <c r="L66" s="227">
        <f>L65*0.1</f>
        <v>0</v>
      </c>
      <c r="N66" s="226" t="s">
        <v>17</v>
      </c>
      <c r="O66" s="223"/>
      <c r="P66" s="223"/>
      <c r="Q66" s="224"/>
      <c r="R66" s="227">
        <f>R65*0.1</f>
        <v>0</v>
      </c>
    </row>
    <row r="67" spans="2:18" ht="15" x14ac:dyDescent="0.25">
      <c r="B67" s="226" t="s">
        <v>18</v>
      </c>
      <c r="C67" s="223"/>
      <c r="D67" s="223"/>
      <c r="E67" s="224"/>
      <c r="F67" s="227">
        <f>SUM(F65:F66)</f>
        <v>0</v>
      </c>
      <c r="H67" s="226" t="s">
        <v>18</v>
      </c>
      <c r="I67" s="223"/>
      <c r="J67" s="223"/>
      <c r="K67" s="224"/>
      <c r="L67" s="227">
        <f>SUM(L65:L66)</f>
        <v>0</v>
      </c>
      <c r="N67" s="226" t="s">
        <v>18</v>
      </c>
      <c r="O67" s="223"/>
      <c r="P67" s="223"/>
      <c r="Q67" s="224"/>
      <c r="R67" s="227">
        <f>SUM(R65:R66)</f>
        <v>0</v>
      </c>
    </row>
    <row r="68" spans="2:18" ht="15" x14ac:dyDescent="0.25">
      <c r="B68" s="219" t="s">
        <v>435</v>
      </c>
      <c r="C68" s="223"/>
      <c r="D68" s="223"/>
      <c r="E68" s="224"/>
      <c r="F68" s="225">
        <v>30000</v>
      </c>
      <c r="H68" s="219" t="s">
        <v>435</v>
      </c>
      <c r="I68" s="223"/>
      <c r="J68" s="223"/>
      <c r="K68" s="224"/>
      <c r="L68" s="225">
        <v>30000</v>
      </c>
      <c r="N68" s="219" t="s">
        <v>435</v>
      </c>
      <c r="O68" s="223"/>
      <c r="P68" s="223"/>
      <c r="Q68" s="224"/>
      <c r="R68" s="225">
        <v>30000</v>
      </c>
    </row>
    <row r="69" spans="2:18" ht="15.75" thickBot="1" x14ac:dyDescent="0.3">
      <c r="B69" s="228"/>
      <c r="C69" s="229"/>
      <c r="D69" s="229"/>
      <c r="E69" s="229"/>
      <c r="F69" s="230"/>
      <c r="H69" s="228"/>
      <c r="I69" s="229"/>
      <c r="J69" s="229"/>
      <c r="K69" s="229"/>
      <c r="L69" s="230"/>
      <c r="N69" s="228"/>
      <c r="O69" s="229"/>
      <c r="P69" s="229"/>
      <c r="Q69" s="229"/>
      <c r="R69" s="230"/>
    </row>
  </sheetData>
  <mergeCells count="18">
    <mergeCell ref="B2:F2"/>
    <mergeCell ref="H2:L2"/>
    <mergeCell ref="N2:R2"/>
    <mergeCell ref="B20:F20"/>
    <mergeCell ref="H20:L20"/>
    <mergeCell ref="N20:R20"/>
    <mergeCell ref="B27:F27"/>
    <mergeCell ref="H27:L27"/>
    <mergeCell ref="N27:R27"/>
    <mergeCell ref="B42:F42"/>
    <mergeCell ref="H42:L42"/>
    <mergeCell ref="N42:R42"/>
    <mergeCell ref="B49:F49"/>
    <mergeCell ref="H49:L49"/>
    <mergeCell ref="N49:R49"/>
    <mergeCell ref="B64:F64"/>
    <mergeCell ref="H64:L64"/>
    <mergeCell ref="N64:R64"/>
  </mergeCells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D054-11FA-48F1-AEE0-AC4BACCC42A9}">
  <dimension ref="B1:R20"/>
  <sheetViews>
    <sheetView topLeftCell="B1" workbookViewId="0">
      <selection activeCell="L13" sqref="L13"/>
    </sheetView>
  </sheetViews>
  <sheetFormatPr baseColWidth="10" defaultRowHeight="12.75" x14ac:dyDescent="0.2"/>
  <cols>
    <col min="2" max="2" width="43.42578125" bestFit="1" customWidth="1"/>
    <col min="7" max="7" width="1.85546875" customWidth="1"/>
    <col min="8" max="8" width="43.42578125" bestFit="1" customWidth="1"/>
    <col min="13" max="13" width="1.855468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521</v>
      </c>
      <c r="C2" s="355"/>
      <c r="D2" s="355"/>
      <c r="E2" s="355"/>
      <c r="F2" s="356"/>
      <c r="H2" s="354" t="s">
        <v>522</v>
      </c>
      <c r="I2" s="355"/>
      <c r="J2" s="355"/>
      <c r="K2" s="355"/>
      <c r="L2" s="356"/>
      <c r="N2" s="354" t="s">
        <v>523</v>
      </c>
      <c r="O2" s="355"/>
      <c r="P2" s="355"/>
      <c r="Q2" s="355"/>
      <c r="R2" s="356"/>
    </row>
    <row r="3" spans="2:18" ht="15.75" thickBot="1" x14ac:dyDescent="0.3">
      <c r="B3" s="196" t="s">
        <v>3</v>
      </c>
      <c r="C3" s="196" t="s">
        <v>507</v>
      </c>
      <c r="D3" s="196" t="s">
        <v>508</v>
      </c>
      <c r="E3" s="197" t="s">
        <v>513</v>
      </c>
      <c r="F3" s="198" t="s">
        <v>509</v>
      </c>
      <c r="H3" s="196" t="s">
        <v>3</v>
      </c>
      <c r="I3" s="196" t="s">
        <v>507</v>
      </c>
      <c r="J3" s="196" t="s">
        <v>508</v>
      </c>
      <c r="K3" s="197" t="s">
        <v>513</v>
      </c>
      <c r="L3" s="198" t="s">
        <v>509</v>
      </c>
      <c r="N3" s="196" t="s">
        <v>3</v>
      </c>
      <c r="O3" s="196" t="s">
        <v>507</v>
      </c>
      <c r="P3" s="196" t="s">
        <v>508</v>
      </c>
      <c r="Q3" s="197" t="s">
        <v>513</v>
      </c>
      <c r="R3" s="198" t="s">
        <v>509</v>
      </c>
    </row>
    <row r="4" spans="2:18" ht="15.75" x14ac:dyDescent="0.25">
      <c r="B4" s="237" t="s">
        <v>128</v>
      </c>
      <c r="C4" s="15">
        <v>350</v>
      </c>
      <c r="D4" s="16" t="s">
        <v>12</v>
      </c>
      <c r="E4" s="241">
        <v>47.04</v>
      </c>
      <c r="F4" s="203">
        <f>C4*E4</f>
        <v>16464</v>
      </c>
      <c r="H4" s="240" t="s">
        <v>191</v>
      </c>
      <c r="I4" s="15">
        <v>350</v>
      </c>
      <c r="J4" s="16" t="s">
        <v>12</v>
      </c>
      <c r="K4" s="241">
        <v>73</v>
      </c>
      <c r="L4" s="203">
        <f>I4*K4</f>
        <v>25550</v>
      </c>
      <c r="N4" s="240" t="s">
        <v>194</v>
      </c>
      <c r="O4" s="15">
        <v>250</v>
      </c>
      <c r="P4" s="16" t="s">
        <v>12</v>
      </c>
      <c r="Q4" s="241">
        <v>56</v>
      </c>
      <c r="R4" s="203">
        <f>O4*Q4</f>
        <v>14000</v>
      </c>
    </row>
    <row r="5" spans="2:18" ht="15" x14ac:dyDescent="0.25">
      <c r="B5" s="238" t="s">
        <v>362</v>
      </c>
      <c r="C5" s="24">
        <v>140</v>
      </c>
      <c r="D5" s="25" t="s">
        <v>12</v>
      </c>
      <c r="E5" s="242">
        <v>5.5</v>
      </c>
      <c r="F5" s="203">
        <f t="shared" ref="F5:F7" si="0">C5*E5</f>
        <v>770</v>
      </c>
      <c r="H5" s="239" t="s">
        <v>54</v>
      </c>
      <c r="I5" s="24">
        <v>100</v>
      </c>
      <c r="J5" s="25" t="s">
        <v>12</v>
      </c>
      <c r="K5" s="243">
        <v>20.71</v>
      </c>
      <c r="L5" s="203">
        <f t="shared" ref="L5:L7" si="1">I5*K5</f>
        <v>2071</v>
      </c>
      <c r="N5" s="239" t="s">
        <v>54</v>
      </c>
      <c r="O5" s="24">
        <v>100</v>
      </c>
      <c r="P5" s="25" t="s">
        <v>12</v>
      </c>
      <c r="Q5" s="243">
        <v>20.71</v>
      </c>
      <c r="R5" s="203">
        <f t="shared" ref="R5:R7" si="2">O5*Q5</f>
        <v>2071</v>
      </c>
    </row>
    <row r="6" spans="2:18" ht="15" x14ac:dyDescent="0.25">
      <c r="B6" s="239" t="s">
        <v>54</v>
      </c>
      <c r="C6" s="24">
        <v>100</v>
      </c>
      <c r="D6" s="25" t="s">
        <v>12</v>
      </c>
      <c r="E6" s="243">
        <v>20.71</v>
      </c>
      <c r="F6" s="203">
        <f t="shared" si="0"/>
        <v>2071</v>
      </c>
      <c r="H6" s="238" t="s">
        <v>362</v>
      </c>
      <c r="I6" s="24">
        <v>140</v>
      </c>
      <c r="J6" s="25" t="s">
        <v>12</v>
      </c>
      <c r="K6" s="242">
        <v>5.5</v>
      </c>
      <c r="L6" s="203">
        <f t="shared" si="1"/>
        <v>770</v>
      </c>
      <c r="N6" s="238" t="s">
        <v>362</v>
      </c>
      <c r="O6" s="24">
        <v>140</v>
      </c>
      <c r="P6" s="25" t="s">
        <v>12</v>
      </c>
      <c r="Q6" s="242">
        <v>5.5</v>
      </c>
      <c r="R6" s="203">
        <f t="shared" si="2"/>
        <v>770</v>
      </c>
    </row>
    <row r="7" spans="2:18" ht="15" x14ac:dyDescent="0.25">
      <c r="B7" s="245" t="s">
        <v>129</v>
      </c>
      <c r="C7" s="246">
        <v>60</v>
      </c>
      <c r="D7" s="247" t="s">
        <v>12</v>
      </c>
      <c r="E7" s="244">
        <v>26.9</v>
      </c>
      <c r="F7" s="203">
        <f t="shared" si="0"/>
        <v>1614</v>
      </c>
      <c r="H7" s="239" t="s">
        <v>193</v>
      </c>
      <c r="I7" s="24">
        <v>60</v>
      </c>
      <c r="J7" s="25" t="s">
        <v>12</v>
      </c>
      <c r="K7" s="244">
        <v>26.9</v>
      </c>
      <c r="L7" s="203">
        <f t="shared" si="1"/>
        <v>1614</v>
      </c>
      <c r="N7" s="239" t="s">
        <v>195</v>
      </c>
      <c r="O7" s="24">
        <v>60</v>
      </c>
      <c r="P7" s="25" t="s">
        <v>12</v>
      </c>
      <c r="Q7" s="244">
        <v>26.9</v>
      </c>
      <c r="R7" s="203">
        <f t="shared" si="2"/>
        <v>1614</v>
      </c>
    </row>
    <row r="8" spans="2:18" ht="15" x14ac:dyDescent="0.25">
      <c r="B8" s="216" t="s">
        <v>512</v>
      </c>
      <c r="C8" s="217"/>
      <c r="D8" s="217"/>
      <c r="E8" s="217"/>
      <c r="F8" s="218"/>
      <c r="H8" s="216" t="s">
        <v>512</v>
      </c>
      <c r="I8" s="217"/>
      <c r="J8" s="217"/>
      <c r="K8" s="217"/>
      <c r="L8" s="218"/>
      <c r="N8" s="216" t="s">
        <v>512</v>
      </c>
      <c r="O8" s="217"/>
      <c r="P8" s="217"/>
      <c r="Q8" s="217"/>
      <c r="R8" s="218"/>
    </row>
    <row r="9" spans="2:18" ht="15" x14ac:dyDescent="0.25">
      <c r="B9" s="219"/>
      <c r="C9" s="220"/>
      <c r="D9" s="221"/>
      <c r="E9" s="221"/>
      <c r="F9" s="222">
        <f>C9*140</f>
        <v>0</v>
      </c>
      <c r="H9" s="219"/>
      <c r="I9" s="220"/>
      <c r="J9" s="221"/>
      <c r="K9" s="221"/>
      <c r="L9" s="222">
        <f>I9*140</f>
        <v>0</v>
      </c>
      <c r="N9" s="219"/>
      <c r="O9" s="220"/>
      <c r="P9" s="221"/>
      <c r="Q9" s="221"/>
      <c r="R9" s="222">
        <f>O9*140</f>
        <v>0</v>
      </c>
    </row>
    <row r="10" spans="2:18" ht="15" x14ac:dyDescent="0.25">
      <c r="B10" s="219"/>
      <c r="C10" s="220"/>
      <c r="D10" s="221"/>
      <c r="E10" s="221"/>
      <c r="F10" s="222">
        <f t="shared" ref="F10:F11" si="3">C10*140</f>
        <v>0</v>
      </c>
      <c r="H10" s="219"/>
      <c r="I10" s="220"/>
      <c r="J10" s="221"/>
      <c r="K10" s="221"/>
      <c r="L10" s="222">
        <f t="shared" ref="L10:L11" si="4">I10*140</f>
        <v>0</v>
      </c>
      <c r="N10" s="219"/>
      <c r="O10" s="220"/>
      <c r="P10" s="221"/>
      <c r="Q10" s="221"/>
      <c r="R10" s="222">
        <f t="shared" ref="R10:R11" si="5">O10*140</f>
        <v>0</v>
      </c>
    </row>
    <row r="11" spans="2:18" ht="15" x14ac:dyDescent="0.25">
      <c r="B11" s="219"/>
      <c r="C11" s="220"/>
      <c r="D11" s="221"/>
      <c r="E11" s="221"/>
      <c r="F11" s="222">
        <f t="shared" si="3"/>
        <v>0</v>
      </c>
      <c r="H11" s="219"/>
      <c r="I11" s="220"/>
      <c r="J11" s="221"/>
      <c r="K11" s="221"/>
      <c r="L11" s="222">
        <f t="shared" si="4"/>
        <v>0</v>
      </c>
      <c r="N11" s="219"/>
      <c r="O11" s="220"/>
      <c r="P11" s="221"/>
      <c r="Q11" s="221"/>
      <c r="R11" s="222">
        <f t="shared" si="5"/>
        <v>0</v>
      </c>
    </row>
    <row r="12" spans="2:18" ht="15" x14ac:dyDescent="0.25">
      <c r="B12" s="357" t="s">
        <v>510</v>
      </c>
      <c r="C12" s="358"/>
      <c r="D12" s="358"/>
      <c r="E12" s="358"/>
      <c r="F12" s="359"/>
      <c r="H12" s="357" t="s">
        <v>510</v>
      </c>
      <c r="I12" s="358"/>
      <c r="J12" s="358"/>
      <c r="K12" s="358"/>
      <c r="L12" s="359"/>
      <c r="N12" s="357" t="s">
        <v>510</v>
      </c>
      <c r="O12" s="358"/>
      <c r="P12" s="358"/>
      <c r="Q12" s="358"/>
      <c r="R12" s="359"/>
    </row>
    <row r="13" spans="2:18" ht="15" x14ac:dyDescent="0.25">
      <c r="B13" s="219" t="s">
        <v>511</v>
      </c>
      <c r="C13" s="223"/>
      <c r="D13" s="223"/>
      <c r="E13" s="224"/>
      <c r="F13" s="225">
        <f>(F4+F5+F6+F7+F9+F10+F11)</f>
        <v>20919</v>
      </c>
      <c r="H13" s="219" t="s">
        <v>511</v>
      </c>
      <c r="I13" s="223"/>
      <c r="J13" s="223"/>
      <c r="K13" s="224"/>
      <c r="L13" s="225">
        <f>(L4+L5+L6+L7+L9+L10+L11)</f>
        <v>30005</v>
      </c>
      <c r="N13" s="219" t="s">
        <v>511</v>
      </c>
      <c r="O13" s="223"/>
      <c r="P13" s="223"/>
      <c r="Q13" s="224"/>
      <c r="R13" s="225">
        <f>(R4+R5+R6+R7+R9+R10+R11)</f>
        <v>18455</v>
      </c>
    </row>
    <row r="14" spans="2:18" ht="15" x14ac:dyDescent="0.25">
      <c r="B14" s="226" t="s">
        <v>17</v>
      </c>
      <c r="C14" s="223"/>
      <c r="D14" s="223"/>
      <c r="E14" s="224"/>
      <c r="F14" s="227">
        <f>F13*0.1</f>
        <v>2091.9</v>
      </c>
      <c r="H14" s="226" t="s">
        <v>17</v>
      </c>
      <c r="I14" s="223"/>
      <c r="J14" s="223"/>
      <c r="K14" s="224"/>
      <c r="L14" s="227">
        <f>L13*0.1</f>
        <v>3000.5</v>
      </c>
      <c r="N14" s="226" t="s">
        <v>17</v>
      </c>
      <c r="O14" s="223"/>
      <c r="P14" s="223"/>
      <c r="Q14" s="224"/>
      <c r="R14" s="227">
        <f>R13*0.1</f>
        <v>1845.5</v>
      </c>
    </row>
    <row r="15" spans="2:18" ht="15" x14ac:dyDescent="0.25">
      <c r="B15" s="226" t="s">
        <v>18</v>
      </c>
      <c r="C15" s="223"/>
      <c r="D15" s="223"/>
      <c r="E15" s="224"/>
      <c r="F15" s="227">
        <f>SUM(F13:F14)</f>
        <v>23010.9</v>
      </c>
      <c r="H15" s="226" t="s">
        <v>18</v>
      </c>
      <c r="I15" s="223"/>
      <c r="J15" s="223"/>
      <c r="K15" s="224"/>
      <c r="L15" s="227">
        <f>SUM(L13:L14)</f>
        <v>33005.5</v>
      </c>
      <c r="N15" s="226" t="s">
        <v>18</v>
      </c>
      <c r="O15" s="223"/>
      <c r="P15" s="223"/>
      <c r="Q15" s="224"/>
      <c r="R15" s="227">
        <f>SUM(R13:R14)</f>
        <v>20300.5</v>
      </c>
    </row>
    <row r="16" spans="2:18" ht="15" x14ac:dyDescent="0.25">
      <c r="B16" s="219" t="s">
        <v>435</v>
      </c>
      <c r="C16" s="223"/>
      <c r="D16" s="223"/>
      <c r="E16" s="224"/>
      <c r="F16" s="225">
        <v>55000</v>
      </c>
      <c r="H16" s="219" t="s">
        <v>435</v>
      </c>
      <c r="I16" s="223"/>
      <c r="J16" s="223"/>
      <c r="K16" s="224"/>
      <c r="L16" s="225">
        <v>50000</v>
      </c>
      <c r="N16" s="219" t="s">
        <v>435</v>
      </c>
      <c r="O16" s="223"/>
      <c r="P16" s="223"/>
      <c r="Q16" s="224"/>
      <c r="R16" s="225">
        <v>64000</v>
      </c>
    </row>
    <row r="17" spans="2:18" ht="15.75" thickBot="1" x14ac:dyDescent="0.3">
      <c r="B17" s="228"/>
      <c r="C17" s="229"/>
      <c r="D17" s="229"/>
      <c r="E17" s="229"/>
      <c r="F17" s="230"/>
      <c r="H17" s="228"/>
      <c r="I17" s="229"/>
      <c r="J17" s="229"/>
      <c r="K17" s="229"/>
      <c r="L17" s="230"/>
      <c r="N17" s="228"/>
      <c r="O17" s="229"/>
      <c r="P17" s="229"/>
      <c r="Q17" s="229"/>
      <c r="R17" s="230"/>
    </row>
    <row r="19" spans="2:18" x14ac:dyDescent="0.2">
      <c r="D19" s="280" t="s">
        <v>862</v>
      </c>
      <c r="E19">
        <v>44000</v>
      </c>
      <c r="K19">
        <v>48000</v>
      </c>
    </row>
    <row r="20" spans="2:18" x14ac:dyDescent="0.2">
      <c r="D20" s="280" t="s">
        <v>863</v>
      </c>
      <c r="E20">
        <v>47040</v>
      </c>
      <c r="F20">
        <f>E20/1000</f>
        <v>47.04</v>
      </c>
      <c r="K20">
        <v>73000</v>
      </c>
    </row>
  </sheetData>
  <mergeCells count="6">
    <mergeCell ref="B2:F2"/>
    <mergeCell ref="B12:F12"/>
    <mergeCell ref="H2:L2"/>
    <mergeCell ref="H12:L12"/>
    <mergeCell ref="N2:R2"/>
    <mergeCell ref="N12:R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B6F2-780C-4699-95E3-4F6CC5687A70}">
  <dimension ref="B1:R66"/>
  <sheetViews>
    <sheetView topLeftCell="G1" workbookViewId="0">
      <selection activeCell="N3" sqref="N3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777</v>
      </c>
      <c r="C2" s="355"/>
      <c r="D2" s="355"/>
      <c r="E2" s="355"/>
      <c r="F2" s="356"/>
      <c r="H2" s="354" t="s">
        <v>805</v>
      </c>
      <c r="I2" s="355"/>
      <c r="J2" s="355"/>
      <c r="K2" s="355"/>
      <c r="L2" s="356"/>
      <c r="N2" s="354" t="s">
        <v>824</v>
      </c>
      <c r="O2" s="355"/>
      <c r="P2" s="355"/>
      <c r="Q2" s="355"/>
      <c r="R2" s="356"/>
    </row>
    <row r="3" spans="2:18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</row>
    <row r="4" spans="2:18" ht="15.75" x14ac:dyDescent="0.25">
      <c r="B4" s="257" t="s">
        <v>778</v>
      </c>
      <c r="C4" s="258">
        <v>1</v>
      </c>
      <c r="D4" s="259" t="s">
        <v>12</v>
      </c>
      <c r="E4" s="260">
        <v>2690</v>
      </c>
      <c r="F4" s="261">
        <f>C4*E4</f>
        <v>2690</v>
      </c>
      <c r="H4" s="257" t="s">
        <v>622</v>
      </c>
      <c r="I4" s="258">
        <v>2</v>
      </c>
      <c r="J4" s="259" t="s">
        <v>248</v>
      </c>
      <c r="K4" s="260">
        <v>498</v>
      </c>
      <c r="L4" s="261">
        <f>I4*K4</f>
        <v>996</v>
      </c>
      <c r="N4" s="262" t="s">
        <v>779</v>
      </c>
      <c r="O4" s="258">
        <v>80</v>
      </c>
      <c r="P4" s="259" t="s">
        <v>12</v>
      </c>
      <c r="Q4" s="260">
        <v>20</v>
      </c>
      <c r="R4" s="261">
        <f>O4*Q4</f>
        <v>1600</v>
      </c>
    </row>
    <row r="5" spans="2:18" ht="15" x14ac:dyDescent="0.25">
      <c r="B5" s="262" t="s">
        <v>779</v>
      </c>
      <c r="C5" s="108">
        <v>70</v>
      </c>
      <c r="D5" s="254" t="s">
        <v>12</v>
      </c>
      <c r="E5" s="253">
        <v>20</v>
      </c>
      <c r="F5" s="203">
        <f t="shared" ref="F5:F11" si="0">C5*E5</f>
        <v>1400</v>
      </c>
      <c r="H5" s="262" t="s">
        <v>782</v>
      </c>
      <c r="I5" s="108">
        <v>20</v>
      </c>
      <c r="J5" s="254" t="s">
        <v>12</v>
      </c>
      <c r="K5" s="295">
        <v>32.25</v>
      </c>
      <c r="L5" s="203">
        <f t="shared" ref="L5:L11" si="1">I5*K5</f>
        <v>645</v>
      </c>
      <c r="N5" s="262" t="s">
        <v>785</v>
      </c>
      <c r="O5" s="108">
        <v>1</v>
      </c>
      <c r="P5" s="254" t="s">
        <v>12</v>
      </c>
      <c r="Q5" s="253">
        <v>780</v>
      </c>
      <c r="R5" s="203">
        <f t="shared" ref="R5:R12" si="2">O5*Q5</f>
        <v>780</v>
      </c>
    </row>
    <row r="6" spans="2:18" ht="15" x14ac:dyDescent="0.25">
      <c r="B6" s="262" t="s">
        <v>495</v>
      </c>
      <c r="C6" s="108">
        <v>15</v>
      </c>
      <c r="D6" s="254" t="s">
        <v>12</v>
      </c>
      <c r="E6" s="253">
        <v>20</v>
      </c>
      <c r="F6" s="203">
        <f t="shared" si="0"/>
        <v>300</v>
      </c>
      <c r="H6" s="262" t="s">
        <v>494</v>
      </c>
      <c r="I6" s="108">
        <v>20</v>
      </c>
      <c r="J6" s="254" t="s">
        <v>12</v>
      </c>
      <c r="K6" s="320">
        <v>21.6</v>
      </c>
      <c r="L6" s="203">
        <f t="shared" si="1"/>
        <v>432</v>
      </c>
      <c r="N6" s="262" t="s">
        <v>786</v>
      </c>
      <c r="O6" s="108">
        <v>100</v>
      </c>
      <c r="P6" s="254" t="s">
        <v>12</v>
      </c>
      <c r="Q6" s="253">
        <v>20</v>
      </c>
      <c r="R6" s="203">
        <f t="shared" si="2"/>
        <v>2000</v>
      </c>
    </row>
    <row r="7" spans="2:18" ht="15" x14ac:dyDescent="0.25">
      <c r="B7" s="262" t="s">
        <v>780</v>
      </c>
      <c r="C7" s="108">
        <v>1</v>
      </c>
      <c r="D7" s="254" t="s">
        <v>12</v>
      </c>
      <c r="E7" s="253">
        <v>925</v>
      </c>
      <c r="F7" s="203">
        <f t="shared" si="0"/>
        <v>925</v>
      </c>
      <c r="H7" s="262" t="s">
        <v>627</v>
      </c>
      <c r="I7" s="108">
        <v>2</v>
      </c>
      <c r="J7" s="254" t="s">
        <v>12</v>
      </c>
      <c r="K7" s="253">
        <v>2</v>
      </c>
      <c r="L7" s="203">
        <f t="shared" si="1"/>
        <v>4</v>
      </c>
      <c r="N7" s="262" t="s">
        <v>787</v>
      </c>
      <c r="O7" s="108">
        <v>10</v>
      </c>
      <c r="P7" s="254" t="s">
        <v>12</v>
      </c>
      <c r="Q7" s="320">
        <v>10.8</v>
      </c>
      <c r="R7" s="203">
        <f t="shared" si="2"/>
        <v>108</v>
      </c>
    </row>
    <row r="8" spans="2:18" ht="15" x14ac:dyDescent="0.25">
      <c r="B8" s="262" t="s">
        <v>781</v>
      </c>
      <c r="C8" s="108">
        <v>5</v>
      </c>
      <c r="D8" s="254" t="s">
        <v>59</v>
      </c>
      <c r="E8" s="320">
        <v>26.9</v>
      </c>
      <c r="F8" s="203">
        <f t="shared" si="0"/>
        <v>134.5</v>
      </c>
      <c r="H8" s="262" t="s">
        <v>783</v>
      </c>
      <c r="I8" s="108">
        <v>10</v>
      </c>
      <c r="J8" s="254" t="s">
        <v>59</v>
      </c>
      <c r="K8" s="320">
        <v>55.8</v>
      </c>
      <c r="L8" s="203">
        <f t="shared" si="1"/>
        <v>558</v>
      </c>
      <c r="N8" s="262" t="s">
        <v>788</v>
      </c>
      <c r="O8" s="108">
        <v>70</v>
      </c>
      <c r="P8" s="254" t="s">
        <v>59</v>
      </c>
      <c r="Q8" s="320">
        <v>8.1999999999999993</v>
      </c>
      <c r="R8" s="203">
        <f t="shared" si="2"/>
        <v>574</v>
      </c>
    </row>
    <row r="9" spans="2:18" ht="15" x14ac:dyDescent="0.25">
      <c r="B9" s="262" t="s">
        <v>788</v>
      </c>
      <c r="C9" s="108">
        <v>70</v>
      </c>
      <c r="D9" s="254" t="s">
        <v>59</v>
      </c>
      <c r="E9" s="320">
        <v>8.1999999999999993</v>
      </c>
      <c r="F9" s="203">
        <f t="shared" si="0"/>
        <v>574</v>
      </c>
      <c r="H9" s="262" t="s">
        <v>784</v>
      </c>
      <c r="I9" s="108">
        <v>10</v>
      </c>
      <c r="J9" s="254" t="s">
        <v>59</v>
      </c>
      <c r="K9" s="320">
        <v>5.78</v>
      </c>
      <c r="L9" s="203">
        <f t="shared" si="1"/>
        <v>57.800000000000004</v>
      </c>
      <c r="N9" s="262"/>
      <c r="O9" s="108"/>
      <c r="P9" s="254" t="s">
        <v>59</v>
      </c>
      <c r="Q9" s="253"/>
      <c r="R9" s="203">
        <f t="shared" si="2"/>
        <v>0</v>
      </c>
    </row>
    <row r="10" spans="2:18" ht="15.75" x14ac:dyDescent="0.25">
      <c r="B10" s="262"/>
      <c r="C10" s="108"/>
      <c r="D10" s="255" t="s">
        <v>12</v>
      </c>
      <c r="E10" s="253"/>
      <c r="F10" s="203">
        <f t="shared" si="0"/>
        <v>0</v>
      </c>
      <c r="H10" s="262"/>
      <c r="I10" s="108"/>
      <c r="J10" s="255"/>
      <c r="K10" s="253"/>
      <c r="L10" s="203">
        <f t="shared" si="1"/>
        <v>0</v>
      </c>
      <c r="N10" s="262"/>
      <c r="O10" s="108"/>
      <c r="P10" s="255" t="s">
        <v>12</v>
      </c>
      <c r="Q10" s="253"/>
      <c r="R10" s="203">
        <f t="shared" si="2"/>
        <v>0</v>
      </c>
    </row>
    <row r="11" spans="2:18" ht="15.75" x14ac:dyDescent="0.25">
      <c r="B11" s="265"/>
      <c r="C11" s="108"/>
      <c r="D11" s="255"/>
      <c r="E11" s="253"/>
      <c r="F11" s="203">
        <f t="shared" si="0"/>
        <v>0</v>
      </c>
      <c r="H11" s="265"/>
      <c r="I11" s="108"/>
      <c r="J11" s="255"/>
      <c r="K11" s="253"/>
      <c r="L11" s="203">
        <f t="shared" si="1"/>
        <v>0</v>
      </c>
      <c r="N11" s="265"/>
      <c r="O11" s="108"/>
      <c r="P11" s="255"/>
      <c r="Q11" s="253"/>
      <c r="R11" s="203">
        <f t="shared" si="2"/>
        <v>0</v>
      </c>
    </row>
    <row r="12" spans="2:18" ht="15.75" x14ac:dyDescent="0.25">
      <c r="B12" s="266"/>
      <c r="C12" s="108"/>
      <c r="D12" s="255"/>
      <c r="E12" s="253"/>
      <c r="F12" s="203">
        <f>SUM(F4:F11)</f>
        <v>6023.5</v>
      </c>
      <c r="H12" s="266"/>
      <c r="I12" s="108"/>
      <c r="J12" s="255"/>
      <c r="K12" s="253"/>
      <c r="L12" s="203">
        <f>SUM(L4:L11)</f>
        <v>2692.8</v>
      </c>
      <c r="N12" s="266"/>
      <c r="O12" s="108"/>
      <c r="P12" s="255"/>
      <c r="Q12" s="253"/>
      <c r="R12" s="203">
        <f t="shared" si="2"/>
        <v>0</v>
      </c>
    </row>
    <row r="13" spans="2:18" ht="15" x14ac:dyDescent="0.25">
      <c r="B13" s="216" t="s">
        <v>512</v>
      </c>
      <c r="C13" s="217"/>
      <c r="D13" s="217"/>
      <c r="E13" s="217"/>
      <c r="F13" s="218"/>
      <c r="H13" s="216" t="s">
        <v>512</v>
      </c>
      <c r="I13" s="217"/>
      <c r="J13" s="217"/>
      <c r="K13" s="217"/>
      <c r="L13" s="218"/>
      <c r="N13" s="216" t="s">
        <v>512</v>
      </c>
      <c r="O13" s="217"/>
      <c r="P13" s="217"/>
      <c r="Q13" s="217"/>
      <c r="R13" s="218"/>
    </row>
    <row r="14" spans="2:18" ht="15" x14ac:dyDescent="0.25">
      <c r="B14" s="219"/>
      <c r="C14" s="220"/>
      <c r="D14" s="221"/>
      <c r="E14" s="221"/>
      <c r="F14" s="222">
        <f>C14*140</f>
        <v>0</v>
      </c>
      <c r="H14" s="219"/>
      <c r="I14" s="220"/>
      <c r="J14" s="221"/>
      <c r="K14" s="221"/>
      <c r="L14" s="222">
        <f>I14*140</f>
        <v>0</v>
      </c>
      <c r="N14" s="219"/>
      <c r="O14" s="220"/>
      <c r="P14" s="221"/>
      <c r="Q14" s="221"/>
      <c r="R14" s="222">
        <f>O14*140</f>
        <v>0</v>
      </c>
    </row>
    <row r="15" spans="2:18" ht="15" x14ac:dyDescent="0.25">
      <c r="B15" s="219"/>
      <c r="C15" s="220"/>
      <c r="D15" s="221"/>
      <c r="E15" s="221"/>
      <c r="F15" s="222">
        <f t="shared" ref="F15" si="3">C15*140</f>
        <v>0</v>
      </c>
      <c r="H15" s="219"/>
      <c r="I15" s="220"/>
      <c r="J15" s="221"/>
      <c r="K15" s="221"/>
      <c r="L15" s="222">
        <f t="shared" ref="L15" si="4">I15*140</f>
        <v>0</v>
      </c>
      <c r="N15" s="219"/>
      <c r="O15" s="220"/>
      <c r="P15" s="221"/>
      <c r="Q15" s="221"/>
      <c r="R15" s="222">
        <f t="shared" ref="R15:R16" si="5">O15*140</f>
        <v>0</v>
      </c>
    </row>
    <row r="16" spans="2:18" ht="15" x14ac:dyDescent="0.25">
      <c r="B16" s="219"/>
      <c r="C16" s="220"/>
      <c r="D16" s="221"/>
      <c r="E16" s="221"/>
      <c r="F16" s="222">
        <f>SUM(F14:F15)</f>
        <v>0</v>
      </c>
      <c r="H16" s="219"/>
      <c r="I16" s="220"/>
      <c r="J16" s="221"/>
      <c r="K16" s="221"/>
      <c r="L16" s="222">
        <f>I16*140</f>
        <v>0</v>
      </c>
      <c r="N16" s="219"/>
      <c r="O16" s="220"/>
      <c r="P16" s="221"/>
      <c r="Q16" s="221"/>
      <c r="R16" s="222">
        <f t="shared" si="5"/>
        <v>0</v>
      </c>
    </row>
    <row r="17" spans="2:18" ht="15" x14ac:dyDescent="0.25">
      <c r="B17" s="357" t="s">
        <v>510</v>
      </c>
      <c r="C17" s="358"/>
      <c r="D17" s="358"/>
      <c r="E17" s="358"/>
      <c r="F17" s="359"/>
      <c r="H17" s="357" t="s">
        <v>510</v>
      </c>
      <c r="I17" s="358"/>
      <c r="J17" s="358"/>
      <c r="K17" s="358"/>
      <c r="L17" s="359"/>
      <c r="N17" s="357" t="s">
        <v>510</v>
      </c>
      <c r="O17" s="358"/>
      <c r="P17" s="358"/>
      <c r="Q17" s="358"/>
      <c r="R17" s="359"/>
    </row>
    <row r="18" spans="2:18" ht="15" x14ac:dyDescent="0.25">
      <c r="B18" s="219" t="s">
        <v>511</v>
      </c>
      <c r="C18" s="223"/>
      <c r="D18" s="223"/>
      <c r="E18" s="224"/>
      <c r="F18" s="225">
        <f>F16+F12</f>
        <v>6023.5</v>
      </c>
      <c r="H18" s="219" t="s">
        <v>511</v>
      </c>
      <c r="I18" s="223"/>
      <c r="J18" s="223"/>
      <c r="K18" s="224"/>
      <c r="L18" s="225">
        <f>L12+L16</f>
        <v>2692.8</v>
      </c>
      <c r="N18" s="219" t="s">
        <v>511</v>
      </c>
      <c r="O18" s="223"/>
      <c r="P18" s="223"/>
      <c r="Q18" s="224"/>
      <c r="R18" s="225">
        <f>(R4+R5+R6+R7+R8+R9+R10+R11+R12+R16)</f>
        <v>5062</v>
      </c>
    </row>
    <row r="19" spans="2:18" ht="15" x14ac:dyDescent="0.25">
      <c r="B19" s="226" t="s">
        <v>17</v>
      </c>
      <c r="C19" s="223"/>
      <c r="D19" s="223"/>
      <c r="E19" s="224"/>
      <c r="F19" s="227">
        <f>F18*0.1</f>
        <v>602.35</v>
      </c>
      <c r="H19" s="226" t="s">
        <v>17</v>
      </c>
      <c r="I19" s="223"/>
      <c r="J19" s="223"/>
      <c r="K19" s="224"/>
      <c r="L19" s="227">
        <f>L18*0.1</f>
        <v>269.28000000000003</v>
      </c>
      <c r="N19" s="226" t="s">
        <v>17</v>
      </c>
      <c r="O19" s="223"/>
      <c r="P19" s="223"/>
      <c r="Q19" s="224"/>
      <c r="R19" s="227">
        <f>R18*0.1</f>
        <v>506.20000000000005</v>
      </c>
    </row>
    <row r="20" spans="2:18" ht="15" x14ac:dyDescent="0.25">
      <c r="B20" s="226" t="s">
        <v>18</v>
      </c>
      <c r="C20" s="223"/>
      <c r="D20" s="223"/>
      <c r="E20" s="224"/>
      <c r="F20" s="227">
        <f>SUM(F18:F19)</f>
        <v>6625.85</v>
      </c>
      <c r="H20" s="226" t="s">
        <v>18</v>
      </c>
      <c r="I20" s="223"/>
      <c r="J20" s="223"/>
      <c r="K20" s="224"/>
      <c r="L20" s="227">
        <f>SUM(L18:L19)</f>
        <v>2962.0800000000004</v>
      </c>
      <c r="N20" s="226" t="s">
        <v>18</v>
      </c>
      <c r="O20" s="223"/>
      <c r="P20" s="223"/>
      <c r="Q20" s="224"/>
      <c r="R20" s="227">
        <f>SUM(R18:R19)</f>
        <v>5568.2</v>
      </c>
    </row>
    <row r="21" spans="2:18" ht="15" x14ac:dyDescent="0.25">
      <c r="B21" s="219" t="s">
        <v>435</v>
      </c>
      <c r="C21" s="223"/>
      <c r="D21" s="223"/>
      <c r="E21" s="224"/>
      <c r="F21" s="225">
        <v>15900</v>
      </c>
      <c r="H21" s="219" t="s">
        <v>435</v>
      </c>
      <c r="I21" s="223"/>
      <c r="J21" s="223"/>
      <c r="K21" s="224"/>
      <c r="L21" s="225">
        <v>10900</v>
      </c>
      <c r="N21" s="219" t="s">
        <v>435</v>
      </c>
      <c r="O21" s="223"/>
      <c r="P21" s="223"/>
      <c r="Q21" s="224"/>
      <c r="R21" s="225">
        <v>16900</v>
      </c>
    </row>
    <row r="22" spans="2:18" ht="15.75" thickBot="1" x14ac:dyDescent="0.3">
      <c r="B22" s="228"/>
      <c r="C22" s="229"/>
      <c r="D22" s="229"/>
      <c r="E22" s="229"/>
      <c r="F22" s="230"/>
      <c r="H22" s="228"/>
      <c r="I22" s="229"/>
      <c r="J22" s="229"/>
      <c r="K22" s="229"/>
      <c r="L22" s="230"/>
      <c r="N22" s="228"/>
      <c r="O22" s="229"/>
      <c r="P22" s="229"/>
      <c r="Q22" s="229"/>
      <c r="R22" s="230"/>
    </row>
    <row r="23" spans="2:18" ht="13.5" thickBot="1" x14ac:dyDescent="0.25"/>
    <row r="24" spans="2:18" ht="15" x14ac:dyDescent="0.25">
      <c r="B24" s="354" t="s">
        <v>789</v>
      </c>
      <c r="C24" s="355"/>
      <c r="D24" s="355"/>
      <c r="E24" s="355"/>
      <c r="F24" s="356"/>
      <c r="H24" s="354" t="s">
        <v>797</v>
      </c>
      <c r="I24" s="355"/>
      <c r="J24" s="355"/>
      <c r="K24" s="355"/>
      <c r="L24" s="356"/>
      <c r="N24" s="354" t="s">
        <v>800</v>
      </c>
      <c r="O24" s="355"/>
      <c r="P24" s="355"/>
      <c r="Q24" s="355"/>
      <c r="R24" s="356"/>
    </row>
    <row r="25" spans="2:18" ht="15.75" thickBot="1" x14ac:dyDescent="0.3">
      <c r="B25" s="197" t="s">
        <v>3</v>
      </c>
      <c r="C25" s="197" t="s">
        <v>507</v>
      </c>
      <c r="D25" s="197" t="s">
        <v>508</v>
      </c>
      <c r="E25" s="197" t="s">
        <v>513</v>
      </c>
      <c r="F25" s="256" t="s">
        <v>509</v>
      </c>
      <c r="H25" s="197" t="s">
        <v>3</v>
      </c>
      <c r="I25" s="197" t="s">
        <v>507</v>
      </c>
      <c r="J25" s="197" t="s">
        <v>508</v>
      </c>
      <c r="K25" s="197" t="s">
        <v>513</v>
      </c>
      <c r="L25" s="256" t="s">
        <v>509</v>
      </c>
      <c r="N25" s="197" t="s">
        <v>3</v>
      </c>
      <c r="O25" s="197" t="s">
        <v>507</v>
      </c>
      <c r="P25" s="197" t="s">
        <v>508</v>
      </c>
      <c r="Q25" s="197" t="s">
        <v>513</v>
      </c>
      <c r="R25" s="256" t="s">
        <v>509</v>
      </c>
    </row>
    <row r="26" spans="2:18" ht="15.75" x14ac:dyDescent="0.25">
      <c r="B26" s="257" t="s">
        <v>622</v>
      </c>
      <c r="C26" s="258">
        <v>5</v>
      </c>
      <c r="D26" s="259" t="s">
        <v>12</v>
      </c>
      <c r="E26" s="260">
        <v>498</v>
      </c>
      <c r="F26" s="261">
        <f>C26*E26</f>
        <v>2490</v>
      </c>
      <c r="H26" s="257" t="s">
        <v>795</v>
      </c>
      <c r="I26" s="258">
        <v>50</v>
      </c>
      <c r="J26" s="259" t="s">
        <v>12</v>
      </c>
      <c r="K26" s="321">
        <v>4.5999999999999996</v>
      </c>
      <c r="L26" s="261">
        <f>I26*K26</f>
        <v>229.99999999999997</v>
      </c>
      <c r="N26" s="257" t="s">
        <v>801</v>
      </c>
      <c r="O26" s="258">
        <v>1</v>
      </c>
      <c r="P26" s="259" t="s">
        <v>12</v>
      </c>
      <c r="Q26" s="260">
        <v>498</v>
      </c>
      <c r="R26" s="261">
        <f>O26*Q26</f>
        <v>498</v>
      </c>
    </row>
    <row r="27" spans="2:18" ht="15" x14ac:dyDescent="0.25">
      <c r="B27" s="262" t="s">
        <v>790</v>
      </c>
      <c r="C27" s="108">
        <v>500</v>
      </c>
      <c r="D27" s="254" t="s">
        <v>12</v>
      </c>
      <c r="E27" s="320">
        <v>59.6</v>
      </c>
      <c r="F27" s="203">
        <f t="shared" ref="F27:F33" si="6">C27*E27</f>
        <v>29800</v>
      </c>
      <c r="H27" s="262" t="s">
        <v>796</v>
      </c>
      <c r="I27" s="108">
        <v>100</v>
      </c>
      <c r="J27" s="254" t="s">
        <v>12</v>
      </c>
      <c r="K27" s="320">
        <v>11.6</v>
      </c>
      <c r="L27" s="203">
        <f t="shared" ref="L27:L34" si="7">I27*K27</f>
        <v>1160</v>
      </c>
      <c r="N27" s="262" t="s">
        <v>802</v>
      </c>
      <c r="O27" s="108">
        <v>10</v>
      </c>
      <c r="P27" s="254" t="s">
        <v>12</v>
      </c>
      <c r="Q27" s="320">
        <v>17.899999999999999</v>
      </c>
      <c r="R27" s="203">
        <f t="shared" ref="R27:R34" si="8">O27*Q27</f>
        <v>179</v>
      </c>
    </row>
    <row r="28" spans="2:18" ht="15" x14ac:dyDescent="0.25">
      <c r="B28" s="262" t="s">
        <v>791</v>
      </c>
      <c r="C28" s="108">
        <v>56</v>
      </c>
      <c r="D28" s="254" t="s">
        <v>12</v>
      </c>
      <c r="E28" s="320">
        <v>85.2</v>
      </c>
      <c r="F28" s="203">
        <f t="shared" si="6"/>
        <v>4771.2</v>
      </c>
      <c r="H28" s="262" t="s">
        <v>761</v>
      </c>
      <c r="I28" s="108">
        <v>50</v>
      </c>
      <c r="J28" s="254" t="s">
        <v>12</v>
      </c>
      <c r="K28" s="320">
        <v>4.9000000000000004</v>
      </c>
      <c r="L28" s="203">
        <f t="shared" si="7"/>
        <v>245.00000000000003</v>
      </c>
      <c r="N28" s="262" t="s">
        <v>803</v>
      </c>
      <c r="O28" s="108">
        <v>500</v>
      </c>
      <c r="P28" s="254" t="s">
        <v>247</v>
      </c>
      <c r="Q28" s="295">
        <v>8.27</v>
      </c>
      <c r="R28" s="203">
        <f t="shared" si="8"/>
        <v>4135</v>
      </c>
    </row>
    <row r="29" spans="2:18" ht="15" x14ac:dyDescent="0.25">
      <c r="B29" s="262" t="s">
        <v>792</v>
      </c>
      <c r="C29" s="108">
        <v>100</v>
      </c>
      <c r="D29" s="254" t="s">
        <v>12</v>
      </c>
      <c r="E29" s="320">
        <v>50.4</v>
      </c>
      <c r="F29" s="203">
        <f t="shared" si="6"/>
        <v>5040</v>
      </c>
      <c r="H29" s="262" t="s">
        <v>764</v>
      </c>
      <c r="I29" s="108">
        <v>30</v>
      </c>
      <c r="J29" s="254" t="s">
        <v>12</v>
      </c>
      <c r="K29" s="320">
        <v>4.4000000000000004</v>
      </c>
      <c r="L29" s="203">
        <f t="shared" si="7"/>
        <v>132</v>
      </c>
      <c r="N29" s="262" t="s">
        <v>627</v>
      </c>
      <c r="O29" s="108">
        <v>5</v>
      </c>
      <c r="P29" s="254" t="s">
        <v>12</v>
      </c>
      <c r="Q29" s="253">
        <v>2</v>
      </c>
      <c r="R29" s="203">
        <f t="shared" si="8"/>
        <v>10</v>
      </c>
    </row>
    <row r="30" spans="2:18" ht="15" x14ac:dyDescent="0.25">
      <c r="B30" s="262" t="s">
        <v>764</v>
      </c>
      <c r="C30" s="108">
        <v>220</v>
      </c>
      <c r="D30" s="254" t="s">
        <v>59</v>
      </c>
      <c r="E30" s="320">
        <v>4.4000000000000004</v>
      </c>
      <c r="F30" s="203">
        <f t="shared" si="6"/>
        <v>968.00000000000011</v>
      </c>
      <c r="H30" s="262" t="s">
        <v>679</v>
      </c>
      <c r="I30" s="108">
        <v>20</v>
      </c>
      <c r="J30" s="254" t="s">
        <v>59</v>
      </c>
      <c r="K30" s="320">
        <v>21.1</v>
      </c>
      <c r="L30" s="203">
        <f t="shared" si="7"/>
        <v>422</v>
      </c>
      <c r="N30" s="262" t="s">
        <v>628</v>
      </c>
      <c r="O30" s="108">
        <v>1</v>
      </c>
      <c r="P30" s="254" t="s">
        <v>59</v>
      </c>
      <c r="Q30" s="253">
        <v>52</v>
      </c>
      <c r="R30" s="203">
        <f t="shared" si="8"/>
        <v>52</v>
      </c>
    </row>
    <row r="31" spans="2:18" ht="15" x14ac:dyDescent="0.25">
      <c r="B31" s="262" t="s">
        <v>627</v>
      </c>
      <c r="C31" s="108">
        <v>2</v>
      </c>
      <c r="D31" s="254" t="s">
        <v>59</v>
      </c>
      <c r="E31" s="253">
        <v>2</v>
      </c>
      <c r="F31" s="203">
        <f t="shared" si="6"/>
        <v>4</v>
      </c>
      <c r="H31" s="262" t="s">
        <v>798</v>
      </c>
      <c r="I31" s="108">
        <v>20</v>
      </c>
      <c r="J31" s="254" t="s">
        <v>59</v>
      </c>
      <c r="K31" s="320">
        <v>12.9</v>
      </c>
      <c r="L31" s="203">
        <f t="shared" si="7"/>
        <v>258</v>
      </c>
      <c r="N31" s="262"/>
      <c r="O31" s="108"/>
      <c r="P31" s="254"/>
      <c r="Q31" s="253"/>
      <c r="R31" s="203">
        <f t="shared" si="8"/>
        <v>0</v>
      </c>
    </row>
    <row r="32" spans="2:18" ht="15.75" x14ac:dyDescent="0.25">
      <c r="B32" s="262" t="s">
        <v>793</v>
      </c>
      <c r="C32" s="108">
        <v>150</v>
      </c>
      <c r="D32" s="255" t="s">
        <v>12</v>
      </c>
      <c r="E32" s="253">
        <v>94.3</v>
      </c>
      <c r="F32" s="203">
        <f t="shared" si="6"/>
        <v>14145</v>
      </c>
      <c r="H32" s="262" t="s">
        <v>799</v>
      </c>
      <c r="I32" s="108">
        <v>10</v>
      </c>
      <c r="J32" s="255" t="s">
        <v>12</v>
      </c>
      <c r="K32" s="320">
        <v>8.9</v>
      </c>
      <c r="L32" s="203">
        <f t="shared" si="7"/>
        <v>89</v>
      </c>
      <c r="N32" s="262"/>
      <c r="O32" s="108"/>
      <c r="P32" s="255"/>
      <c r="Q32" s="253"/>
      <c r="R32" s="203">
        <f t="shared" si="8"/>
        <v>0</v>
      </c>
    </row>
    <row r="33" spans="2:18" ht="15.75" x14ac:dyDescent="0.25">
      <c r="B33" s="265" t="s">
        <v>794</v>
      </c>
      <c r="C33" s="108">
        <v>20</v>
      </c>
      <c r="D33" s="255" t="s">
        <v>12</v>
      </c>
      <c r="E33" s="253">
        <v>71.5</v>
      </c>
      <c r="F33" s="203">
        <f t="shared" si="6"/>
        <v>1430</v>
      </c>
      <c r="H33" s="265"/>
      <c r="I33" s="108"/>
      <c r="J33" s="255"/>
      <c r="K33" s="253"/>
      <c r="L33" s="203">
        <f t="shared" si="7"/>
        <v>0</v>
      </c>
      <c r="N33" s="265"/>
      <c r="O33" s="108"/>
      <c r="P33" s="255"/>
      <c r="Q33" s="253"/>
      <c r="R33" s="203">
        <f t="shared" si="8"/>
        <v>0</v>
      </c>
    </row>
    <row r="34" spans="2:18" ht="15.75" x14ac:dyDescent="0.25">
      <c r="B34" s="266"/>
      <c r="C34" s="108"/>
      <c r="D34" s="255"/>
      <c r="E34" s="253"/>
      <c r="F34" s="203">
        <f>SUM(F26:F33)</f>
        <v>58648.2</v>
      </c>
      <c r="H34" s="266"/>
      <c r="I34" s="108"/>
      <c r="J34" s="255"/>
      <c r="K34" s="253"/>
      <c r="L34" s="203">
        <f t="shared" si="7"/>
        <v>0</v>
      </c>
      <c r="N34" s="266"/>
      <c r="O34" s="108"/>
      <c r="P34" s="255"/>
      <c r="Q34" s="253"/>
      <c r="R34" s="203">
        <f t="shared" si="8"/>
        <v>0</v>
      </c>
    </row>
    <row r="35" spans="2:18" ht="15" x14ac:dyDescent="0.25">
      <c r="B35" s="216" t="s">
        <v>512</v>
      </c>
      <c r="C35" s="217"/>
      <c r="D35" s="217"/>
      <c r="E35" s="217"/>
      <c r="F35" s="218"/>
      <c r="H35" s="216" t="s">
        <v>512</v>
      </c>
      <c r="I35" s="217"/>
      <c r="J35" s="217"/>
      <c r="K35" s="217"/>
      <c r="L35" s="218"/>
      <c r="N35" s="216" t="s">
        <v>512</v>
      </c>
      <c r="O35" s="217"/>
      <c r="P35" s="217"/>
      <c r="Q35" s="217"/>
      <c r="R35" s="218"/>
    </row>
    <row r="36" spans="2:18" ht="15" x14ac:dyDescent="0.25">
      <c r="B36" s="219"/>
      <c r="C36" s="220"/>
      <c r="D36" s="221"/>
      <c r="E36" s="221"/>
      <c r="F36" s="222">
        <f>C36*140</f>
        <v>0</v>
      </c>
      <c r="H36" s="219"/>
      <c r="I36" s="220"/>
      <c r="J36" s="221"/>
      <c r="K36" s="221"/>
      <c r="L36" s="222">
        <f>I36*140</f>
        <v>0</v>
      </c>
      <c r="N36" s="219"/>
      <c r="O36" s="220"/>
      <c r="P36" s="221"/>
      <c r="Q36" s="221"/>
      <c r="R36" s="222">
        <f>O36*140</f>
        <v>0</v>
      </c>
    </row>
    <row r="37" spans="2:18" ht="15" x14ac:dyDescent="0.25">
      <c r="B37" s="219"/>
      <c r="C37" s="220"/>
      <c r="D37" s="221"/>
      <c r="E37" s="221"/>
      <c r="F37" s="222">
        <f t="shared" ref="F37" si="9">C37*140</f>
        <v>0</v>
      </c>
      <c r="H37" s="219"/>
      <c r="I37" s="220"/>
      <c r="J37" s="221"/>
      <c r="K37" s="221"/>
      <c r="L37" s="222">
        <f t="shared" ref="L37:L38" si="10">I37*140</f>
        <v>0</v>
      </c>
      <c r="N37" s="219"/>
      <c r="O37" s="220"/>
      <c r="P37" s="221"/>
      <c r="Q37" s="221"/>
      <c r="R37" s="222">
        <f t="shared" ref="R37:R38" si="11">O37*140</f>
        <v>0</v>
      </c>
    </row>
    <row r="38" spans="2:18" ht="15" x14ac:dyDescent="0.25">
      <c r="B38" s="219"/>
      <c r="C38" s="220"/>
      <c r="D38" s="221"/>
      <c r="E38" s="221"/>
      <c r="F38" s="222">
        <f>SUM(F36:F37)</f>
        <v>0</v>
      </c>
      <c r="H38" s="219"/>
      <c r="I38" s="220"/>
      <c r="J38" s="221"/>
      <c r="K38" s="221"/>
      <c r="L38" s="222">
        <f t="shared" si="10"/>
        <v>0</v>
      </c>
      <c r="N38" s="219"/>
      <c r="O38" s="220"/>
      <c r="P38" s="221"/>
      <c r="Q38" s="221"/>
      <c r="R38" s="222">
        <f t="shared" si="11"/>
        <v>0</v>
      </c>
    </row>
    <row r="39" spans="2:18" ht="15" x14ac:dyDescent="0.25">
      <c r="B39" s="357" t="s">
        <v>510</v>
      </c>
      <c r="C39" s="358"/>
      <c r="D39" s="358"/>
      <c r="E39" s="358"/>
      <c r="F39" s="359"/>
      <c r="H39" s="357" t="s">
        <v>510</v>
      </c>
      <c r="I39" s="358"/>
      <c r="J39" s="358"/>
      <c r="K39" s="358"/>
      <c r="L39" s="359"/>
      <c r="N39" s="357" t="s">
        <v>510</v>
      </c>
      <c r="O39" s="358"/>
      <c r="P39" s="358"/>
      <c r="Q39" s="358"/>
      <c r="R39" s="359"/>
    </row>
    <row r="40" spans="2:18" ht="15" x14ac:dyDescent="0.25">
      <c r="B40" s="219" t="s">
        <v>511</v>
      </c>
      <c r="C40" s="223"/>
      <c r="D40" s="223"/>
      <c r="E40" s="224"/>
      <c r="F40" s="225">
        <f>F34+F38</f>
        <v>58648.2</v>
      </c>
      <c r="H40" s="219" t="s">
        <v>511</v>
      </c>
      <c r="I40" s="223"/>
      <c r="J40" s="223"/>
      <c r="K40" s="224"/>
      <c r="L40" s="225">
        <f>(L26+L27+L28+L29+L30+L31+L32+L33+L34+L38)</f>
        <v>2536</v>
      </c>
      <c r="N40" s="219" t="s">
        <v>511</v>
      </c>
      <c r="O40" s="223"/>
      <c r="P40" s="223"/>
      <c r="Q40" s="224"/>
      <c r="R40" s="225">
        <f>(R26+R27+R28+R29+R30+R31+R32+R33+R34+R38)</f>
        <v>4874</v>
      </c>
    </row>
    <row r="41" spans="2:18" ht="15" x14ac:dyDescent="0.25">
      <c r="B41" s="226" t="s">
        <v>17</v>
      </c>
      <c r="C41" s="223"/>
      <c r="D41" s="223"/>
      <c r="E41" s="224"/>
      <c r="F41" s="227">
        <f>F40*0.1</f>
        <v>5864.82</v>
      </c>
      <c r="H41" s="226" t="s">
        <v>17</v>
      </c>
      <c r="I41" s="223"/>
      <c r="J41" s="223"/>
      <c r="K41" s="224"/>
      <c r="L41" s="227">
        <f>L40*0.1</f>
        <v>253.60000000000002</v>
      </c>
      <c r="N41" s="226" t="s">
        <v>17</v>
      </c>
      <c r="O41" s="223"/>
      <c r="P41" s="223"/>
      <c r="Q41" s="224"/>
      <c r="R41" s="227">
        <f>R40*0.1</f>
        <v>487.40000000000003</v>
      </c>
    </row>
    <row r="42" spans="2:18" ht="15" x14ac:dyDescent="0.25">
      <c r="B42" s="226" t="s">
        <v>18</v>
      </c>
      <c r="C42" s="223"/>
      <c r="D42" s="223"/>
      <c r="E42" s="224"/>
      <c r="F42" s="227">
        <f>SUM(F40:F41)</f>
        <v>64513.02</v>
      </c>
      <c r="H42" s="226" t="s">
        <v>18</v>
      </c>
      <c r="I42" s="223"/>
      <c r="J42" s="223"/>
      <c r="K42" s="224"/>
      <c r="L42" s="227">
        <f>SUM(L40:L41)</f>
        <v>2789.6</v>
      </c>
      <c r="N42" s="226" t="s">
        <v>18</v>
      </c>
      <c r="O42" s="223"/>
      <c r="P42" s="223"/>
      <c r="Q42" s="224"/>
      <c r="R42" s="227">
        <f>SUM(R40:R41)</f>
        <v>5361.4</v>
      </c>
    </row>
    <row r="43" spans="2:18" ht="15" x14ac:dyDescent="0.25">
      <c r="B43" s="219" t="s">
        <v>435</v>
      </c>
      <c r="C43" s="223"/>
      <c r="D43" s="223"/>
      <c r="E43" s="224"/>
      <c r="F43" s="225">
        <v>18900</v>
      </c>
      <c r="H43" s="219" t="s">
        <v>435</v>
      </c>
      <c r="I43" s="223"/>
      <c r="J43" s="223"/>
      <c r="K43" s="224"/>
      <c r="L43" s="225">
        <v>0</v>
      </c>
      <c r="N43" s="219" t="s">
        <v>435</v>
      </c>
      <c r="O43" s="223"/>
      <c r="P43" s="223"/>
      <c r="Q43" s="224"/>
      <c r="R43" s="225">
        <v>0</v>
      </c>
    </row>
    <row r="44" spans="2:18" ht="15.75" thickBot="1" x14ac:dyDescent="0.3">
      <c r="B44" s="228"/>
      <c r="C44" s="229"/>
      <c r="D44" s="229"/>
      <c r="E44" s="229">
        <v>6</v>
      </c>
      <c r="F44" s="230">
        <f>F42/E44</f>
        <v>10752.17</v>
      </c>
      <c r="H44" s="228"/>
      <c r="I44" s="229"/>
      <c r="J44" s="229"/>
      <c r="K44" s="229">
        <v>140</v>
      </c>
      <c r="L44" s="230">
        <f>L42/K44</f>
        <v>19.925714285714285</v>
      </c>
      <c r="N44" s="228"/>
      <c r="O44" s="229"/>
      <c r="P44" s="229"/>
      <c r="Q44" s="229">
        <v>600</v>
      </c>
      <c r="R44" s="323">
        <f>R42/Q44</f>
        <v>8.9356666666666662</v>
      </c>
    </row>
    <row r="45" spans="2:18" ht="13.5" thickBot="1" x14ac:dyDescent="0.25"/>
    <row r="46" spans="2:18" ht="15" x14ac:dyDescent="0.25">
      <c r="B46" s="354" t="s">
        <v>807</v>
      </c>
      <c r="C46" s="355"/>
      <c r="D46" s="355"/>
      <c r="E46" s="355"/>
      <c r="F46" s="356"/>
      <c r="H46" s="354" t="s">
        <v>527</v>
      </c>
      <c r="I46" s="355"/>
      <c r="J46" s="355"/>
      <c r="K46" s="355"/>
      <c r="L46" s="356"/>
      <c r="N46" s="354" t="s">
        <v>527</v>
      </c>
      <c r="O46" s="355"/>
      <c r="P46" s="355"/>
      <c r="Q46" s="355"/>
      <c r="R46" s="356"/>
    </row>
    <row r="47" spans="2:18" ht="15.75" thickBot="1" x14ac:dyDescent="0.3">
      <c r="B47" s="197" t="s">
        <v>3</v>
      </c>
      <c r="C47" s="197" t="s">
        <v>507</v>
      </c>
      <c r="D47" s="197" t="s">
        <v>508</v>
      </c>
      <c r="E47" s="197" t="s">
        <v>513</v>
      </c>
      <c r="F47" s="256" t="s">
        <v>509</v>
      </c>
      <c r="H47" s="197" t="s">
        <v>3</v>
      </c>
      <c r="I47" s="197" t="s">
        <v>507</v>
      </c>
      <c r="J47" s="197" t="s">
        <v>508</v>
      </c>
      <c r="K47" s="197" t="s">
        <v>513</v>
      </c>
      <c r="L47" s="256" t="s">
        <v>509</v>
      </c>
      <c r="N47" s="197" t="s">
        <v>3</v>
      </c>
      <c r="O47" s="197" t="s">
        <v>507</v>
      </c>
      <c r="P47" s="197" t="s">
        <v>508</v>
      </c>
      <c r="Q47" s="197" t="s">
        <v>513</v>
      </c>
      <c r="R47" s="256" t="s">
        <v>509</v>
      </c>
    </row>
    <row r="48" spans="2:18" ht="15.75" x14ac:dyDescent="0.25">
      <c r="B48" s="257" t="s">
        <v>808</v>
      </c>
      <c r="C48" s="258">
        <v>1</v>
      </c>
      <c r="D48" s="259" t="s">
        <v>809</v>
      </c>
      <c r="E48" s="260"/>
      <c r="F48" s="261">
        <f>C48*E48</f>
        <v>0</v>
      </c>
      <c r="H48" s="257"/>
      <c r="I48" s="258"/>
      <c r="J48" s="259" t="s">
        <v>12</v>
      </c>
      <c r="K48" s="260"/>
      <c r="L48" s="261">
        <f>I48*K48</f>
        <v>0</v>
      </c>
      <c r="N48" s="257"/>
      <c r="O48" s="258"/>
      <c r="P48" s="259" t="s">
        <v>12</v>
      </c>
      <c r="Q48" s="260"/>
      <c r="R48" s="261">
        <f>O48*Q48</f>
        <v>0</v>
      </c>
    </row>
    <row r="49" spans="2:18" ht="15" x14ac:dyDescent="0.25">
      <c r="B49" s="262" t="s">
        <v>810</v>
      </c>
      <c r="C49" s="108"/>
      <c r="D49" s="254" t="s">
        <v>12</v>
      </c>
      <c r="E49" s="253"/>
      <c r="F49" s="203">
        <f t="shared" ref="F49:F56" si="12">C49*E49</f>
        <v>0</v>
      </c>
      <c r="H49" s="262"/>
      <c r="I49" s="108"/>
      <c r="J49" s="254" t="s">
        <v>12</v>
      </c>
      <c r="K49" s="253"/>
      <c r="L49" s="203">
        <f t="shared" ref="L49:L56" si="13">I49*K49</f>
        <v>0</v>
      </c>
      <c r="N49" s="262"/>
      <c r="O49" s="108"/>
      <c r="P49" s="254" t="s">
        <v>12</v>
      </c>
      <c r="Q49" s="253"/>
      <c r="R49" s="203">
        <f t="shared" ref="R49:R56" si="14">O49*Q49</f>
        <v>0</v>
      </c>
    </row>
    <row r="50" spans="2:18" ht="15" x14ac:dyDescent="0.25">
      <c r="B50" s="262" t="s">
        <v>811</v>
      </c>
      <c r="C50" s="108"/>
      <c r="D50" s="254" t="s">
        <v>12</v>
      </c>
      <c r="E50" s="253"/>
      <c r="F50" s="203">
        <f t="shared" si="12"/>
        <v>0</v>
      </c>
      <c r="H50" s="262"/>
      <c r="I50" s="108"/>
      <c r="J50" s="254" t="s">
        <v>12</v>
      </c>
      <c r="K50" s="253"/>
      <c r="L50" s="203">
        <f t="shared" si="13"/>
        <v>0</v>
      </c>
      <c r="N50" s="262"/>
      <c r="O50" s="108"/>
      <c r="P50" s="254" t="s">
        <v>12</v>
      </c>
      <c r="Q50" s="253"/>
      <c r="R50" s="203">
        <f t="shared" si="14"/>
        <v>0</v>
      </c>
    </row>
    <row r="51" spans="2:18" ht="15" x14ac:dyDescent="0.25">
      <c r="B51" s="262"/>
      <c r="C51" s="108"/>
      <c r="D51" s="254" t="s">
        <v>12</v>
      </c>
      <c r="E51" s="253"/>
      <c r="F51" s="203">
        <f t="shared" si="12"/>
        <v>0</v>
      </c>
      <c r="H51" s="262"/>
      <c r="I51" s="108"/>
      <c r="J51" s="254" t="s">
        <v>12</v>
      </c>
      <c r="K51" s="253"/>
      <c r="L51" s="203">
        <f t="shared" si="13"/>
        <v>0</v>
      </c>
      <c r="N51" s="262"/>
      <c r="O51" s="108"/>
      <c r="P51" s="254" t="s">
        <v>12</v>
      </c>
      <c r="Q51" s="253"/>
      <c r="R51" s="203">
        <f t="shared" si="14"/>
        <v>0</v>
      </c>
    </row>
    <row r="52" spans="2:18" ht="15" x14ac:dyDescent="0.25">
      <c r="B52" s="262"/>
      <c r="C52" s="108"/>
      <c r="D52" s="254" t="s">
        <v>59</v>
      </c>
      <c r="E52" s="253"/>
      <c r="F52" s="203">
        <f t="shared" si="12"/>
        <v>0</v>
      </c>
      <c r="H52" s="262"/>
      <c r="I52" s="108"/>
      <c r="J52" s="254" t="s">
        <v>59</v>
      </c>
      <c r="K52" s="253"/>
      <c r="L52" s="203">
        <f t="shared" si="13"/>
        <v>0</v>
      </c>
      <c r="N52" s="262"/>
      <c r="O52" s="108"/>
      <c r="P52" s="254" t="s">
        <v>59</v>
      </c>
      <c r="Q52" s="253"/>
      <c r="R52" s="203">
        <f t="shared" si="14"/>
        <v>0</v>
      </c>
    </row>
    <row r="53" spans="2:18" ht="15" x14ac:dyDescent="0.25">
      <c r="B53" s="262"/>
      <c r="C53" s="108"/>
      <c r="D53" s="254" t="s">
        <v>59</v>
      </c>
      <c r="E53" s="253"/>
      <c r="F53" s="203">
        <f t="shared" si="12"/>
        <v>0</v>
      </c>
      <c r="H53" s="262"/>
      <c r="I53" s="108"/>
      <c r="J53" s="254" t="s">
        <v>59</v>
      </c>
      <c r="K53" s="253"/>
      <c r="L53" s="203">
        <f t="shared" si="13"/>
        <v>0</v>
      </c>
      <c r="N53" s="262"/>
      <c r="O53" s="108"/>
      <c r="P53" s="254" t="s">
        <v>59</v>
      </c>
      <c r="Q53" s="253"/>
      <c r="R53" s="203">
        <f t="shared" si="14"/>
        <v>0</v>
      </c>
    </row>
    <row r="54" spans="2:18" ht="15.75" x14ac:dyDescent="0.25">
      <c r="B54" s="262"/>
      <c r="C54" s="108"/>
      <c r="D54" s="255" t="s">
        <v>12</v>
      </c>
      <c r="E54" s="253"/>
      <c r="F54" s="203">
        <f t="shared" si="12"/>
        <v>0</v>
      </c>
      <c r="H54" s="262"/>
      <c r="I54" s="108"/>
      <c r="J54" s="255" t="s">
        <v>12</v>
      </c>
      <c r="K54" s="253"/>
      <c r="L54" s="203">
        <f t="shared" si="13"/>
        <v>0</v>
      </c>
      <c r="N54" s="262"/>
      <c r="O54" s="108"/>
      <c r="P54" s="255" t="s">
        <v>12</v>
      </c>
      <c r="Q54" s="253"/>
      <c r="R54" s="203">
        <f t="shared" si="14"/>
        <v>0</v>
      </c>
    </row>
    <row r="55" spans="2:18" ht="15.75" x14ac:dyDescent="0.25">
      <c r="B55" s="265"/>
      <c r="C55" s="108"/>
      <c r="D55" s="255"/>
      <c r="E55" s="253"/>
      <c r="F55" s="203">
        <f t="shared" si="12"/>
        <v>0</v>
      </c>
      <c r="H55" s="265"/>
      <c r="I55" s="108"/>
      <c r="J55" s="255"/>
      <c r="K55" s="253"/>
      <c r="L55" s="203">
        <f t="shared" si="13"/>
        <v>0</v>
      </c>
      <c r="N55" s="265"/>
      <c r="O55" s="108"/>
      <c r="P55" s="255"/>
      <c r="Q55" s="253"/>
      <c r="R55" s="203">
        <f t="shared" si="14"/>
        <v>0</v>
      </c>
    </row>
    <row r="56" spans="2:18" ht="15.75" x14ac:dyDescent="0.25">
      <c r="B56" s="266"/>
      <c r="C56" s="108"/>
      <c r="D56" s="255"/>
      <c r="E56" s="253"/>
      <c r="F56" s="203">
        <f t="shared" si="12"/>
        <v>0</v>
      </c>
      <c r="H56" s="266"/>
      <c r="I56" s="108"/>
      <c r="J56" s="255"/>
      <c r="K56" s="253"/>
      <c r="L56" s="203">
        <f t="shared" si="13"/>
        <v>0</v>
      </c>
      <c r="N56" s="266"/>
      <c r="O56" s="108"/>
      <c r="P56" s="255"/>
      <c r="Q56" s="253"/>
      <c r="R56" s="203">
        <f t="shared" si="14"/>
        <v>0</v>
      </c>
    </row>
    <row r="57" spans="2:18" ht="15" x14ac:dyDescent="0.25">
      <c r="B57" s="216" t="s">
        <v>512</v>
      </c>
      <c r="C57" s="217"/>
      <c r="D57" s="217"/>
      <c r="E57" s="217"/>
      <c r="F57" s="218"/>
      <c r="H57" s="216" t="s">
        <v>512</v>
      </c>
      <c r="I57" s="217"/>
      <c r="J57" s="217"/>
      <c r="K57" s="217"/>
      <c r="L57" s="218"/>
      <c r="N57" s="216" t="s">
        <v>512</v>
      </c>
      <c r="O57" s="217"/>
      <c r="P57" s="217"/>
      <c r="Q57" s="217"/>
      <c r="R57" s="218"/>
    </row>
    <row r="58" spans="2:18" ht="15" x14ac:dyDescent="0.25">
      <c r="B58" s="219"/>
      <c r="C58" s="220"/>
      <c r="D58" s="221"/>
      <c r="E58" s="221"/>
      <c r="F58" s="222">
        <f>C58*140</f>
        <v>0</v>
      </c>
      <c r="H58" s="219"/>
      <c r="I58" s="220"/>
      <c r="J58" s="221"/>
      <c r="K58" s="221"/>
      <c r="L58" s="222">
        <f>I58*140</f>
        <v>0</v>
      </c>
      <c r="N58" s="219"/>
      <c r="O58" s="220"/>
      <c r="P58" s="221"/>
      <c r="Q58" s="221"/>
      <c r="R58" s="222">
        <f>O58*140</f>
        <v>0</v>
      </c>
    </row>
    <row r="59" spans="2:18" ht="15" x14ac:dyDescent="0.25">
      <c r="B59" s="219"/>
      <c r="C59" s="220"/>
      <c r="D59" s="221"/>
      <c r="E59" s="221"/>
      <c r="F59" s="222">
        <f t="shared" ref="F59:F60" si="15">C59*140</f>
        <v>0</v>
      </c>
      <c r="H59" s="219"/>
      <c r="I59" s="220"/>
      <c r="J59" s="221"/>
      <c r="K59" s="221"/>
      <c r="L59" s="222">
        <f t="shared" ref="L59:L60" si="16">I59*140</f>
        <v>0</v>
      </c>
      <c r="N59" s="219"/>
      <c r="O59" s="220"/>
      <c r="P59" s="221"/>
      <c r="Q59" s="221"/>
      <c r="R59" s="222">
        <f t="shared" ref="R59:R60" si="17">O59*140</f>
        <v>0</v>
      </c>
    </row>
    <row r="60" spans="2:18" ht="15" x14ac:dyDescent="0.25">
      <c r="B60" s="219"/>
      <c r="C60" s="220"/>
      <c r="D60" s="221"/>
      <c r="E60" s="221"/>
      <c r="F60" s="222">
        <f t="shared" si="15"/>
        <v>0</v>
      </c>
      <c r="H60" s="219"/>
      <c r="I60" s="220"/>
      <c r="J60" s="221"/>
      <c r="K60" s="221"/>
      <c r="L60" s="222">
        <f t="shared" si="16"/>
        <v>0</v>
      </c>
      <c r="N60" s="219"/>
      <c r="O60" s="220"/>
      <c r="P60" s="221"/>
      <c r="Q60" s="221"/>
      <c r="R60" s="222">
        <f t="shared" si="17"/>
        <v>0</v>
      </c>
    </row>
    <row r="61" spans="2:18" ht="15" x14ac:dyDescent="0.25">
      <c r="B61" s="357" t="s">
        <v>510</v>
      </c>
      <c r="C61" s="358"/>
      <c r="D61" s="358"/>
      <c r="E61" s="358"/>
      <c r="F61" s="359"/>
      <c r="H61" s="357" t="s">
        <v>510</v>
      </c>
      <c r="I61" s="358"/>
      <c r="J61" s="358"/>
      <c r="K61" s="358"/>
      <c r="L61" s="359"/>
      <c r="N61" s="357" t="s">
        <v>510</v>
      </c>
      <c r="O61" s="358"/>
      <c r="P61" s="358"/>
      <c r="Q61" s="358"/>
      <c r="R61" s="359"/>
    </row>
    <row r="62" spans="2:18" ht="15" x14ac:dyDescent="0.25">
      <c r="B62" s="219" t="s">
        <v>511</v>
      </c>
      <c r="C62" s="223"/>
      <c r="D62" s="223"/>
      <c r="E62" s="224"/>
      <c r="F62" s="225">
        <f>(F48+F49+F50+F51+F52+F53+F54+F55+F56+F60)</f>
        <v>0</v>
      </c>
      <c r="H62" s="219" t="s">
        <v>511</v>
      </c>
      <c r="I62" s="223"/>
      <c r="J62" s="223"/>
      <c r="K62" s="224"/>
      <c r="L62" s="225">
        <f>(L48+L49+L50+L51+L52+L53+L54+L55+L56+L60)</f>
        <v>0</v>
      </c>
      <c r="N62" s="219" t="s">
        <v>511</v>
      </c>
      <c r="O62" s="223"/>
      <c r="P62" s="223"/>
      <c r="Q62" s="224"/>
      <c r="R62" s="225">
        <f>(R48+R49+R50+R51+R52+R53+R54+R55+R56+R60)</f>
        <v>0</v>
      </c>
    </row>
    <row r="63" spans="2:18" ht="15" x14ac:dyDescent="0.25">
      <c r="B63" s="226" t="s">
        <v>17</v>
      </c>
      <c r="C63" s="223"/>
      <c r="D63" s="223"/>
      <c r="E63" s="224"/>
      <c r="F63" s="227">
        <f>F62*0.1</f>
        <v>0</v>
      </c>
      <c r="H63" s="226" t="s">
        <v>17</v>
      </c>
      <c r="I63" s="223"/>
      <c r="J63" s="223"/>
      <c r="K63" s="224"/>
      <c r="L63" s="227">
        <f>L62*0.1</f>
        <v>0</v>
      </c>
      <c r="N63" s="226" t="s">
        <v>17</v>
      </c>
      <c r="O63" s="223"/>
      <c r="P63" s="223"/>
      <c r="Q63" s="224"/>
      <c r="R63" s="227">
        <f>R62*0.1</f>
        <v>0</v>
      </c>
    </row>
    <row r="64" spans="2:18" ht="15" x14ac:dyDescent="0.25">
      <c r="B64" s="226" t="s">
        <v>18</v>
      </c>
      <c r="C64" s="223"/>
      <c r="D64" s="223"/>
      <c r="E64" s="224"/>
      <c r="F64" s="227">
        <f>SUM(F62:F63)</f>
        <v>0</v>
      </c>
      <c r="H64" s="226" t="s">
        <v>18</v>
      </c>
      <c r="I64" s="223"/>
      <c r="J64" s="223"/>
      <c r="K64" s="224"/>
      <c r="L64" s="227">
        <f>SUM(L62:L63)</f>
        <v>0</v>
      </c>
      <c r="N64" s="226" t="s">
        <v>18</v>
      </c>
      <c r="O64" s="223"/>
      <c r="P64" s="223"/>
      <c r="Q64" s="224"/>
      <c r="R64" s="227">
        <f>SUM(R62:R63)</f>
        <v>0</v>
      </c>
    </row>
    <row r="65" spans="2:18" ht="15" x14ac:dyDescent="0.25">
      <c r="B65" s="219" t="s">
        <v>435</v>
      </c>
      <c r="C65" s="223"/>
      <c r="D65" s="223"/>
      <c r="E65" s="224"/>
      <c r="F65" s="225">
        <v>30000</v>
      </c>
      <c r="H65" s="219" t="s">
        <v>435</v>
      </c>
      <c r="I65" s="223"/>
      <c r="J65" s="223"/>
      <c r="K65" s="224"/>
      <c r="L65" s="225">
        <v>30000</v>
      </c>
      <c r="N65" s="219" t="s">
        <v>435</v>
      </c>
      <c r="O65" s="223"/>
      <c r="P65" s="223"/>
      <c r="Q65" s="224"/>
      <c r="R65" s="225">
        <v>30000</v>
      </c>
    </row>
    <row r="66" spans="2:18" ht="15.75" thickBot="1" x14ac:dyDescent="0.3">
      <c r="B66" s="228"/>
      <c r="C66" s="229"/>
      <c r="D66" s="229"/>
      <c r="E66" s="229"/>
      <c r="F66" s="230"/>
      <c r="H66" s="228"/>
      <c r="I66" s="229"/>
      <c r="J66" s="229"/>
      <c r="K66" s="229"/>
      <c r="L66" s="230"/>
      <c r="N66" s="228"/>
      <c r="O66" s="229"/>
      <c r="P66" s="229"/>
      <c r="Q66" s="229"/>
      <c r="R66" s="230"/>
    </row>
  </sheetData>
  <mergeCells count="18">
    <mergeCell ref="B2:F2"/>
    <mergeCell ref="H2:L2"/>
    <mergeCell ref="N2:R2"/>
    <mergeCell ref="B17:F17"/>
    <mergeCell ref="H17:L17"/>
    <mergeCell ref="N17:R17"/>
    <mergeCell ref="B24:F24"/>
    <mergeCell ref="H24:L24"/>
    <mergeCell ref="N24:R24"/>
    <mergeCell ref="B39:F39"/>
    <mergeCell ref="H39:L39"/>
    <mergeCell ref="N39:R39"/>
    <mergeCell ref="B46:F46"/>
    <mergeCell ref="H46:L46"/>
    <mergeCell ref="N46:R46"/>
    <mergeCell ref="B61:F61"/>
    <mergeCell ref="H61:L61"/>
    <mergeCell ref="N61:R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45F3-4693-4A5C-BC7D-5864AB26FB75}">
  <dimension ref="B1:R44"/>
  <sheetViews>
    <sheetView topLeftCell="H1" workbookViewId="0">
      <selection activeCell="L22" sqref="L22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855468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818</v>
      </c>
      <c r="C2" s="355"/>
      <c r="D2" s="355"/>
      <c r="E2" s="355"/>
      <c r="F2" s="356"/>
      <c r="H2" s="354" t="s">
        <v>819</v>
      </c>
      <c r="I2" s="355"/>
      <c r="J2" s="355"/>
      <c r="K2" s="355"/>
      <c r="L2" s="356"/>
      <c r="N2" s="354" t="s">
        <v>527</v>
      </c>
      <c r="O2" s="355"/>
      <c r="P2" s="355"/>
      <c r="Q2" s="355"/>
      <c r="R2" s="356"/>
    </row>
    <row r="3" spans="2:18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</row>
    <row r="4" spans="2:18" ht="15.75" x14ac:dyDescent="0.25">
      <c r="B4" s="257" t="s">
        <v>812</v>
      </c>
      <c r="C4" s="258">
        <v>200</v>
      </c>
      <c r="D4" s="259" t="s">
        <v>12</v>
      </c>
      <c r="E4" s="331">
        <v>4.1100000000000003</v>
      </c>
      <c r="F4" s="261">
        <f>C4*E4</f>
        <v>822.00000000000011</v>
      </c>
      <c r="H4" s="257" t="s">
        <v>812</v>
      </c>
      <c r="I4" s="258">
        <v>200</v>
      </c>
      <c r="J4" s="259" t="s">
        <v>12</v>
      </c>
      <c r="K4" s="331">
        <v>4.1100000000000003</v>
      </c>
      <c r="L4" s="261">
        <f>I4*K4</f>
        <v>822.00000000000011</v>
      </c>
      <c r="N4" s="257"/>
      <c r="O4" s="258"/>
      <c r="P4" s="259" t="s">
        <v>12</v>
      </c>
      <c r="Q4" s="260"/>
      <c r="R4" s="261">
        <f>O4*Q4</f>
        <v>0</v>
      </c>
    </row>
    <row r="5" spans="2:18" ht="15" x14ac:dyDescent="0.25">
      <c r="B5" s="262" t="s">
        <v>331</v>
      </c>
      <c r="C5" s="108">
        <v>12</v>
      </c>
      <c r="D5" s="254" t="s">
        <v>12</v>
      </c>
      <c r="E5" s="295">
        <v>3.58</v>
      </c>
      <c r="F5" s="203">
        <f t="shared" ref="F5:F12" si="0">C5*E5</f>
        <v>42.96</v>
      </c>
      <c r="H5" s="262" t="s">
        <v>331</v>
      </c>
      <c r="I5" s="108">
        <v>12</v>
      </c>
      <c r="J5" s="254" t="s">
        <v>12</v>
      </c>
      <c r="K5" s="295">
        <v>3.58</v>
      </c>
      <c r="L5" s="203">
        <f t="shared" ref="L5:L12" si="1">I5*K5</f>
        <v>42.96</v>
      </c>
      <c r="N5" s="262"/>
      <c r="O5" s="108"/>
      <c r="P5" s="254" t="s">
        <v>12</v>
      </c>
      <c r="Q5" s="253"/>
      <c r="R5" s="203">
        <f t="shared" ref="R5:R12" si="2">O5*Q5</f>
        <v>0</v>
      </c>
    </row>
    <row r="6" spans="2:18" ht="15" x14ac:dyDescent="0.25">
      <c r="B6" s="262" t="s">
        <v>813</v>
      </c>
      <c r="C6" s="108">
        <v>12</v>
      </c>
      <c r="D6" s="254" t="s">
        <v>12</v>
      </c>
      <c r="E6" s="295">
        <v>3.78</v>
      </c>
      <c r="F6" s="203">
        <f t="shared" si="0"/>
        <v>45.36</v>
      </c>
      <c r="H6" s="262" t="s">
        <v>813</v>
      </c>
      <c r="I6" s="108">
        <v>12</v>
      </c>
      <c r="J6" s="254" t="s">
        <v>12</v>
      </c>
      <c r="K6" s="295">
        <v>3.78</v>
      </c>
      <c r="L6" s="203">
        <f t="shared" si="1"/>
        <v>45.36</v>
      </c>
      <c r="N6" s="262"/>
      <c r="O6" s="108"/>
      <c r="P6" s="254" t="s">
        <v>12</v>
      </c>
      <c r="Q6" s="253"/>
      <c r="R6" s="203">
        <f t="shared" si="2"/>
        <v>0</v>
      </c>
    </row>
    <row r="7" spans="2:18" ht="15" x14ac:dyDescent="0.25">
      <c r="B7" s="262" t="s">
        <v>784</v>
      </c>
      <c r="C7" s="108">
        <v>14</v>
      </c>
      <c r="D7" s="254" t="s">
        <v>12</v>
      </c>
      <c r="E7" s="295">
        <v>5.78</v>
      </c>
      <c r="F7" s="203">
        <f t="shared" si="0"/>
        <v>80.92</v>
      </c>
      <c r="H7" s="262" t="s">
        <v>784</v>
      </c>
      <c r="I7" s="108">
        <v>14</v>
      </c>
      <c r="J7" s="254" t="s">
        <v>12</v>
      </c>
      <c r="K7" s="295">
        <v>5.78</v>
      </c>
      <c r="L7" s="203">
        <f t="shared" si="1"/>
        <v>80.92</v>
      </c>
      <c r="N7" s="262"/>
      <c r="O7" s="108"/>
      <c r="P7" s="254" t="s">
        <v>12</v>
      </c>
      <c r="Q7" s="253"/>
      <c r="R7" s="203">
        <f t="shared" si="2"/>
        <v>0</v>
      </c>
    </row>
    <row r="8" spans="2:18" ht="15" x14ac:dyDescent="0.25">
      <c r="B8" s="262" t="s">
        <v>814</v>
      </c>
      <c r="C8" s="108">
        <v>12</v>
      </c>
      <c r="D8" s="254" t="s">
        <v>59</v>
      </c>
      <c r="E8" s="253">
        <v>23.8</v>
      </c>
      <c r="F8" s="203">
        <f t="shared" si="0"/>
        <v>285.60000000000002</v>
      </c>
      <c r="H8" s="262" t="s">
        <v>814</v>
      </c>
      <c r="I8" s="108">
        <v>12</v>
      </c>
      <c r="J8" s="254" t="s">
        <v>59</v>
      </c>
      <c r="K8" s="253">
        <v>23.8</v>
      </c>
      <c r="L8" s="203">
        <f t="shared" si="1"/>
        <v>285.60000000000002</v>
      </c>
      <c r="N8" s="262"/>
      <c r="O8" s="108"/>
      <c r="P8" s="254" t="s">
        <v>59</v>
      </c>
      <c r="Q8" s="253"/>
      <c r="R8" s="203">
        <f t="shared" si="2"/>
        <v>0</v>
      </c>
    </row>
    <row r="9" spans="2:18" ht="15" x14ac:dyDescent="0.25">
      <c r="B9" s="262" t="s">
        <v>815</v>
      </c>
      <c r="C9" s="108">
        <v>20</v>
      </c>
      <c r="D9" s="254" t="s">
        <v>59</v>
      </c>
      <c r="E9" s="253">
        <v>10</v>
      </c>
      <c r="F9" s="203">
        <f t="shared" si="0"/>
        <v>200</v>
      </c>
      <c r="H9" s="262" t="s">
        <v>815</v>
      </c>
      <c r="I9" s="108">
        <v>20</v>
      </c>
      <c r="J9" s="254" t="s">
        <v>59</v>
      </c>
      <c r="K9" s="253">
        <v>10</v>
      </c>
      <c r="L9" s="203">
        <f t="shared" si="1"/>
        <v>200</v>
      </c>
      <c r="N9" s="262"/>
      <c r="O9" s="108"/>
      <c r="P9" s="254" t="s">
        <v>59</v>
      </c>
      <c r="Q9" s="253"/>
      <c r="R9" s="203">
        <f t="shared" si="2"/>
        <v>0</v>
      </c>
    </row>
    <row r="10" spans="2:18" ht="15.75" x14ac:dyDescent="0.25">
      <c r="B10" s="262" t="s">
        <v>817</v>
      </c>
      <c r="C10" s="108">
        <v>100</v>
      </c>
      <c r="D10" s="255" t="s">
        <v>12</v>
      </c>
      <c r="E10" s="295">
        <v>21</v>
      </c>
      <c r="F10" s="203">
        <f t="shared" si="0"/>
        <v>2100</v>
      </c>
      <c r="H10" s="262" t="s">
        <v>778</v>
      </c>
      <c r="I10" s="108">
        <v>50</v>
      </c>
      <c r="J10" s="255" t="s">
        <v>12</v>
      </c>
      <c r="K10" s="295">
        <v>26.9</v>
      </c>
      <c r="L10" s="203">
        <f t="shared" si="1"/>
        <v>1345</v>
      </c>
      <c r="N10" s="262"/>
      <c r="O10" s="108"/>
      <c r="P10" s="255" t="s">
        <v>12</v>
      </c>
      <c r="Q10" s="253"/>
      <c r="R10" s="203">
        <f t="shared" si="2"/>
        <v>0</v>
      </c>
    </row>
    <row r="11" spans="2:18" ht="15.75" x14ac:dyDescent="0.25">
      <c r="B11" s="262" t="s">
        <v>816</v>
      </c>
      <c r="C11" s="108">
        <v>70</v>
      </c>
      <c r="D11" s="255" t="s">
        <v>12</v>
      </c>
      <c r="E11" s="295">
        <v>8.1999999999999993</v>
      </c>
      <c r="F11" s="203">
        <f t="shared" si="0"/>
        <v>574</v>
      </c>
      <c r="H11" s="262" t="s">
        <v>820</v>
      </c>
      <c r="I11" s="108">
        <v>50</v>
      </c>
      <c r="J11" s="255" t="s">
        <v>12</v>
      </c>
      <c r="K11" s="295">
        <v>38.700000000000003</v>
      </c>
      <c r="L11" s="203">
        <f t="shared" si="1"/>
        <v>1935.0000000000002</v>
      </c>
      <c r="N11" s="265"/>
      <c r="O11" s="108"/>
      <c r="P11" s="255"/>
      <c r="Q11" s="253"/>
      <c r="R11" s="203">
        <f t="shared" si="2"/>
        <v>0</v>
      </c>
    </row>
    <row r="12" spans="2:18" ht="15.75" x14ac:dyDescent="0.25">
      <c r="B12" s="266"/>
      <c r="C12" s="108"/>
      <c r="D12" s="255"/>
      <c r="E12" s="253"/>
      <c r="F12" s="203">
        <f t="shared" si="0"/>
        <v>0</v>
      </c>
      <c r="H12" s="262" t="s">
        <v>816</v>
      </c>
      <c r="I12" s="108">
        <v>70</v>
      </c>
      <c r="J12" s="255" t="s">
        <v>12</v>
      </c>
      <c r="K12" s="295">
        <v>8.1999999999999993</v>
      </c>
      <c r="L12" s="203">
        <f t="shared" si="1"/>
        <v>574</v>
      </c>
      <c r="N12" s="266"/>
      <c r="O12" s="108"/>
      <c r="P12" s="255"/>
      <c r="Q12" s="253"/>
      <c r="R12" s="203">
        <f t="shared" si="2"/>
        <v>0</v>
      </c>
    </row>
    <row r="13" spans="2:18" ht="15" x14ac:dyDescent="0.25">
      <c r="B13" s="216" t="s">
        <v>512</v>
      </c>
      <c r="C13" s="217"/>
      <c r="D13" s="217"/>
      <c r="E13" s="217"/>
      <c r="F13" s="218"/>
      <c r="H13" s="216" t="s">
        <v>512</v>
      </c>
      <c r="I13" s="217"/>
      <c r="J13" s="217"/>
      <c r="K13" s="217"/>
      <c r="L13" s="218"/>
      <c r="N13" s="216" t="s">
        <v>512</v>
      </c>
      <c r="O13" s="217"/>
      <c r="P13" s="217"/>
      <c r="Q13" s="217"/>
      <c r="R13" s="218"/>
    </row>
    <row r="14" spans="2:18" ht="15" x14ac:dyDescent="0.25">
      <c r="B14" s="219"/>
      <c r="C14" s="220"/>
      <c r="D14" s="221"/>
      <c r="E14" s="221"/>
      <c r="F14" s="222">
        <f>C14*140</f>
        <v>0</v>
      </c>
      <c r="H14" s="219"/>
      <c r="I14" s="220"/>
      <c r="J14" s="221"/>
      <c r="K14" s="221"/>
      <c r="L14" s="222">
        <f>I14*140</f>
        <v>0</v>
      </c>
      <c r="N14" s="219"/>
      <c r="O14" s="220"/>
      <c r="P14" s="221"/>
      <c r="Q14" s="221"/>
      <c r="R14" s="222">
        <f>O14*140</f>
        <v>0</v>
      </c>
    </row>
    <row r="15" spans="2:18" ht="15" x14ac:dyDescent="0.25">
      <c r="B15" s="219"/>
      <c r="C15" s="220"/>
      <c r="D15" s="221"/>
      <c r="E15" s="221"/>
      <c r="F15" s="222">
        <f t="shared" ref="F15:F16" si="3">C15*140</f>
        <v>0</v>
      </c>
      <c r="H15" s="219"/>
      <c r="I15" s="220"/>
      <c r="J15" s="221"/>
      <c r="K15" s="221"/>
      <c r="L15" s="222">
        <f t="shared" ref="L15:L16" si="4">I15*140</f>
        <v>0</v>
      </c>
      <c r="N15" s="219"/>
      <c r="O15" s="220"/>
      <c r="P15" s="221"/>
      <c r="Q15" s="221"/>
      <c r="R15" s="222">
        <f t="shared" ref="R15:R16" si="5">O15*140</f>
        <v>0</v>
      </c>
    </row>
    <row r="16" spans="2:18" ht="15" x14ac:dyDescent="0.25">
      <c r="B16" s="219"/>
      <c r="C16" s="220"/>
      <c r="D16" s="221"/>
      <c r="E16" s="221"/>
      <c r="F16" s="222">
        <f t="shared" si="3"/>
        <v>0</v>
      </c>
      <c r="H16" s="219"/>
      <c r="I16" s="220"/>
      <c r="J16" s="221"/>
      <c r="K16" s="221"/>
      <c r="L16" s="222">
        <f t="shared" si="4"/>
        <v>0</v>
      </c>
      <c r="N16" s="219"/>
      <c r="O16" s="220"/>
      <c r="P16" s="221"/>
      <c r="Q16" s="221"/>
      <c r="R16" s="222">
        <f t="shared" si="5"/>
        <v>0</v>
      </c>
    </row>
    <row r="17" spans="2:18" ht="15" x14ac:dyDescent="0.25">
      <c r="B17" s="357" t="s">
        <v>510</v>
      </c>
      <c r="C17" s="358"/>
      <c r="D17" s="358"/>
      <c r="E17" s="358"/>
      <c r="F17" s="359"/>
      <c r="H17" s="357" t="s">
        <v>510</v>
      </c>
      <c r="I17" s="358"/>
      <c r="J17" s="358"/>
      <c r="K17" s="358"/>
      <c r="L17" s="359"/>
      <c r="N17" s="357" t="s">
        <v>510</v>
      </c>
      <c r="O17" s="358"/>
      <c r="P17" s="358"/>
      <c r="Q17" s="358"/>
      <c r="R17" s="359"/>
    </row>
    <row r="18" spans="2:18" ht="15" x14ac:dyDescent="0.25">
      <c r="B18" s="219" t="s">
        <v>511</v>
      </c>
      <c r="C18" s="223"/>
      <c r="D18" s="223"/>
      <c r="E18" s="224"/>
      <c r="F18" s="225">
        <f>(F4+F5+F6+F7+F8+F9+F10+F11+F12+F16)</f>
        <v>4150.84</v>
      </c>
      <c r="H18" s="219" t="s">
        <v>511</v>
      </c>
      <c r="I18" s="223"/>
      <c r="J18" s="223"/>
      <c r="K18" s="224"/>
      <c r="L18" s="225">
        <f>(L4+L5+L6+L7+L8+L9+L10+L11+L12+L16)</f>
        <v>5330.84</v>
      </c>
      <c r="N18" s="219" t="s">
        <v>511</v>
      </c>
      <c r="O18" s="223"/>
      <c r="P18" s="223"/>
      <c r="Q18" s="224"/>
      <c r="R18" s="225">
        <f>(R4+R5+R6+R7+R8+R9+R10+R11+R12+R16)</f>
        <v>0</v>
      </c>
    </row>
    <row r="19" spans="2:18" ht="15" x14ac:dyDescent="0.25">
      <c r="B19" s="226" t="s">
        <v>17</v>
      </c>
      <c r="C19" s="223"/>
      <c r="D19" s="223"/>
      <c r="E19" s="224"/>
      <c r="F19" s="227">
        <f>F18*0.1</f>
        <v>415.08400000000006</v>
      </c>
      <c r="H19" s="226" t="s">
        <v>17</v>
      </c>
      <c r="I19" s="223"/>
      <c r="J19" s="223"/>
      <c r="K19" s="224"/>
      <c r="L19" s="227">
        <f>L18*0.1</f>
        <v>533.08400000000006</v>
      </c>
      <c r="N19" s="226" t="s">
        <v>17</v>
      </c>
      <c r="O19" s="223"/>
      <c r="P19" s="223"/>
      <c r="Q19" s="224"/>
      <c r="R19" s="227">
        <f>R18*0.1</f>
        <v>0</v>
      </c>
    </row>
    <row r="20" spans="2:18" ht="15" x14ac:dyDescent="0.25">
      <c r="B20" s="226" t="s">
        <v>18</v>
      </c>
      <c r="C20" s="223"/>
      <c r="D20" s="223"/>
      <c r="E20" s="224"/>
      <c r="F20" s="227">
        <f>SUM(F18:F19)</f>
        <v>4565.924</v>
      </c>
      <c r="H20" s="226" t="s">
        <v>18</v>
      </c>
      <c r="I20" s="223"/>
      <c r="J20" s="223"/>
      <c r="K20" s="224"/>
      <c r="L20" s="227">
        <f>SUM(L18:L19)</f>
        <v>5863.924</v>
      </c>
      <c r="N20" s="226" t="s">
        <v>18</v>
      </c>
      <c r="O20" s="223"/>
      <c r="P20" s="223"/>
      <c r="Q20" s="224"/>
      <c r="R20" s="227">
        <f>SUM(R18:R19)</f>
        <v>0</v>
      </c>
    </row>
    <row r="21" spans="2:18" ht="15" x14ac:dyDescent="0.25">
      <c r="B21" s="219" t="s">
        <v>435</v>
      </c>
      <c r="C21" s="223"/>
      <c r="D21" s="223"/>
      <c r="E21" s="224"/>
      <c r="F21" s="225">
        <v>16900</v>
      </c>
      <c r="H21" s="219" t="s">
        <v>435</v>
      </c>
      <c r="I21" s="223"/>
      <c r="J21" s="223"/>
      <c r="K21" s="224"/>
      <c r="L21" s="225">
        <v>17900</v>
      </c>
      <c r="N21" s="219" t="s">
        <v>435</v>
      </c>
      <c r="O21" s="223"/>
      <c r="P21" s="223"/>
      <c r="Q21" s="224"/>
      <c r="R21" s="225">
        <v>30000</v>
      </c>
    </row>
    <row r="22" spans="2:18" ht="15.75" thickBot="1" x14ac:dyDescent="0.3">
      <c r="B22" s="228"/>
      <c r="C22" s="229"/>
      <c r="D22" s="229"/>
      <c r="E22" s="229"/>
      <c r="F22" s="230"/>
      <c r="H22" s="228"/>
      <c r="I22" s="229"/>
      <c r="J22" s="229"/>
      <c r="K22" s="229"/>
      <c r="L22" s="230"/>
      <c r="N22" s="228"/>
      <c r="O22" s="229"/>
      <c r="P22" s="229"/>
      <c r="Q22" s="229"/>
      <c r="R22" s="230"/>
    </row>
    <row r="23" spans="2:18" ht="13.5" thickBot="1" x14ac:dyDescent="0.25"/>
    <row r="24" spans="2:18" ht="15" x14ac:dyDescent="0.25">
      <c r="B24" s="354" t="s">
        <v>527</v>
      </c>
      <c r="C24" s="355"/>
      <c r="D24" s="355"/>
      <c r="E24" s="355"/>
      <c r="F24" s="356"/>
    </row>
    <row r="25" spans="2:18" ht="15.75" thickBot="1" x14ac:dyDescent="0.3">
      <c r="B25" s="197" t="s">
        <v>3</v>
      </c>
      <c r="C25" s="197" t="s">
        <v>507</v>
      </c>
      <c r="D25" s="197" t="s">
        <v>508</v>
      </c>
      <c r="E25" s="197" t="s">
        <v>513</v>
      </c>
      <c r="F25" s="256" t="s">
        <v>509</v>
      </c>
    </row>
    <row r="26" spans="2:18" ht="15.75" x14ac:dyDescent="0.25">
      <c r="B26" s="257"/>
      <c r="C26" s="258"/>
      <c r="D26" s="259" t="s">
        <v>12</v>
      </c>
      <c r="E26" s="260"/>
      <c r="F26" s="261">
        <f>C26*E26</f>
        <v>0</v>
      </c>
    </row>
    <row r="27" spans="2:18" ht="15" x14ac:dyDescent="0.25">
      <c r="B27" s="262"/>
      <c r="C27" s="108"/>
      <c r="D27" s="254" t="s">
        <v>12</v>
      </c>
      <c r="E27" s="253"/>
      <c r="F27" s="203">
        <f t="shared" ref="F27:F34" si="6">C27*E27</f>
        <v>0</v>
      </c>
    </row>
    <row r="28" spans="2:18" ht="15" x14ac:dyDescent="0.25">
      <c r="B28" s="262"/>
      <c r="C28" s="108"/>
      <c r="D28" s="254" t="s">
        <v>12</v>
      </c>
      <c r="E28" s="253"/>
      <c r="F28" s="203">
        <f t="shared" si="6"/>
        <v>0</v>
      </c>
    </row>
    <row r="29" spans="2:18" ht="15" x14ac:dyDescent="0.25">
      <c r="B29" s="262"/>
      <c r="C29" s="108"/>
      <c r="D29" s="254" t="s">
        <v>12</v>
      </c>
      <c r="E29" s="253"/>
      <c r="F29" s="203">
        <f t="shared" si="6"/>
        <v>0</v>
      </c>
    </row>
    <row r="30" spans="2:18" ht="15" x14ac:dyDescent="0.25">
      <c r="B30" s="262"/>
      <c r="C30" s="108"/>
      <c r="D30" s="254" t="s">
        <v>59</v>
      </c>
      <c r="E30" s="253"/>
      <c r="F30" s="203">
        <f t="shared" si="6"/>
        <v>0</v>
      </c>
    </row>
    <row r="31" spans="2:18" ht="15" x14ac:dyDescent="0.25">
      <c r="B31" s="262"/>
      <c r="C31" s="108"/>
      <c r="D31" s="254" t="s">
        <v>59</v>
      </c>
      <c r="E31" s="253"/>
      <c r="F31" s="203">
        <f t="shared" si="6"/>
        <v>0</v>
      </c>
    </row>
    <row r="32" spans="2:18" ht="15.75" x14ac:dyDescent="0.25">
      <c r="B32" s="262"/>
      <c r="C32" s="108"/>
      <c r="D32" s="255" t="s">
        <v>12</v>
      </c>
      <c r="E32" s="253"/>
      <c r="F32" s="203">
        <f t="shared" si="6"/>
        <v>0</v>
      </c>
    </row>
    <row r="33" spans="2:6" ht="15.75" x14ac:dyDescent="0.25">
      <c r="B33" s="265"/>
      <c r="C33" s="108"/>
      <c r="D33" s="255"/>
      <c r="E33" s="253"/>
      <c r="F33" s="203">
        <f t="shared" si="6"/>
        <v>0</v>
      </c>
    </row>
    <row r="34" spans="2:6" ht="15.75" x14ac:dyDescent="0.25">
      <c r="B34" s="266"/>
      <c r="C34" s="108"/>
      <c r="D34" s="255"/>
      <c r="E34" s="253"/>
      <c r="F34" s="203">
        <f t="shared" si="6"/>
        <v>0</v>
      </c>
    </row>
    <row r="35" spans="2:6" ht="15" x14ac:dyDescent="0.25">
      <c r="B35" s="216" t="s">
        <v>512</v>
      </c>
      <c r="C35" s="217"/>
      <c r="D35" s="217"/>
      <c r="E35" s="217"/>
      <c r="F35" s="218"/>
    </row>
    <row r="36" spans="2:6" ht="15" x14ac:dyDescent="0.25">
      <c r="B36" s="219"/>
      <c r="C36" s="220"/>
      <c r="D36" s="221"/>
      <c r="E36" s="221"/>
      <c r="F36" s="222">
        <f>C36*140</f>
        <v>0</v>
      </c>
    </row>
    <row r="37" spans="2:6" ht="15" x14ac:dyDescent="0.25">
      <c r="B37" s="219"/>
      <c r="C37" s="220"/>
      <c r="D37" s="221"/>
      <c r="E37" s="221"/>
      <c r="F37" s="222">
        <f t="shared" ref="F37:F38" si="7">C37*140</f>
        <v>0</v>
      </c>
    </row>
    <row r="38" spans="2:6" ht="15" x14ac:dyDescent="0.25">
      <c r="B38" s="219"/>
      <c r="C38" s="220"/>
      <c r="D38" s="221"/>
      <c r="E38" s="221"/>
      <c r="F38" s="222">
        <f t="shared" si="7"/>
        <v>0</v>
      </c>
    </row>
    <row r="39" spans="2:6" ht="15" x14ac:dyDescent="0.25">
      <c r="B39" s="357" t="s">
        <v>510</v>
      </c>
      <c r="C39" s="358"/>
      <c r="D39" s="358"/>
      <c r="E39" s="358"/>
      <c r="F39" s="359"/>
    </row>
    <row r="40" spans="2:6" ht="15" x14ac:dyDescent="0.25">
      <c r="B40" s="219" t="s">
        <v>511</v>
      </c>
      <c r="C40" s="223"/>
      <c r="D40" s="223"/>
      <c r="E40" s="224"/>
      <c r="F40" s="225">
        <f>(F26+F27+F28+F29+F30+F31+F32+F33+F34+F38)</f>
        <v>0</v>
      </c>
    </row>
    <row r="41" spans="2:6" ht="15" x14ac:dyDescent="0.25">
      <c r="B41" s="226" t="s">
        <v>17</v>
      </c>
      <c r="C41" s="223"/>
      <c r="D41" s="223"/>
      <c r="E41" s="224"/>
      <c r="F41" s="227">
        <f>F40*0.1</f>
        <v>0</v>
      </c>
    </row>
    <row r="42" spans="2:6" ht="15" x14ac:dyDescent="0.25">
      <c r="B42" s="226" t="s">
        <v>18</v>
      </c>
      <c r="C42" s="223"/>
      <c r="D42" s="223"/>
      <c r="E42" s="224"/>
      <c r="F42" s="227">
        <f>SUM(F40:F41)</f>
        <v>0</v>
      </c>
    </row>
    <row r="43" spans="2:6" ht="15" x14ac:dyDescent="0.25">
      <c r="B43" s="219" t="s">
        <v>435</v>
      </c>
      <c r="C43" s="223"/>
      <c r="D43" s="223"/>
      <c r="E43" s="224"/>
      <c r="F43" s="225">
        <v>30000</v>
      </c>
    </row>
    <row r="44" spans="2:6" ht="15.75" thickBot="1" x14ac:dyDescent="0.3">
      <c r="B44" s="228"/>
      <c r="C44" s="229"/>
      <c r="D44" s="229"/>
      <c r="E44" s="229"/>
      <c r="F44" s="230"/>
    </row>
  </sheetData>
  <mergeCells count="8">
    <mergeCell ref="N2:R2"/>
    <mergeCell ref="N17:R17"/>
    <mergeCell ref="B24:F24"/>
    <mergeCell ref="B39:F39"/>
    <mergeCell ref="B2:F2"/>
    <mergeCell ref="B17:F17"/>
    <mergeCell ref="H2:L2"/>
    <mergeCell ref="H17:L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850F-3AAD-4977-AFED-17B1705D8B51}">
  <dimension ref="B1:AD26"/>
  <sheetViews>
    <sheetView workbookViewId="0">
      <selection activeCell="C12" sqref="C12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  <col min="19" max="19" width="1.7109375" customWidth="1"/>
    <col min="20" max="20" width="43.42578125" bestFit="1" customWidth="1"/>
    <col min="25" max="25" width="1.7109375" customWidth="1"/>
    <col min="26" max="26" width="43.42578125" bestFit="1" customWidth="1"/>
  </cols>
  <sheetData>
    <row r="1" spans="2:30" ht="13.5" thickBot="1" x14ac:dyDescent="0.25"/>
    <row r="2" spans="2:30" ht="15" x14ac:dyDescent="0.25">
      <c r="B2" s="354" t="s">
        <v>398</v>
      </c>
      <c r="C2" s="355"/>
      <c r="D2" s="355"/>
      <c r="E2" s="355"/>
      <c r="F2" s="356"/>
      <c r="H2" s="354" t="s">
        <v>518</v>
      </c>
      <c r="I2" s="355"/>
      <c r="J2" s="355"/>
      <c r="K2" s="355"/>
      <c r="L2" s="356"/>
      <c r="N2" s="354" t="s">
        <v>519</v>
      </c>
      <c r="O2" s="355"/>
      <c r="P2" s="355"/>
      <c r="Q2" s="355"/>
      <c r="R2" s="356"/>
      <c r="T2" s="354" t="s">
        <v>520</v>
      </c>
      <c r="U2" s="355"/>
      <c r="V2" s="355"/>
      <c r="W2" s="355"/>
      <c r="X2" s="356"/>
      <c r="Z2" s="354" t="s">
        <v>417</v>
      </c>
      <c r="AA2" s="355"/>
      <c r="AB2" s="355"/>
      <c r="AC2" s="355"/>
      <c r="AD2" s="356"/>
    </row>
    <row r="3" spans="2:30" ht="15.75" thickBot="1" x14ac:dyDescent="0.3">
      <c r="B3" s="298" t="s">
        <v>3</v>
      </c>
      <c r="C3" s="196" t="s">
        <v>507</v>
      </c>
      <c r="D3" s="197" t="s">
        <v>508</v>
      </c>
      <c r="E3" s="197" t="s">
        <v>513</v>
      </c>
      <c r="F3" s="299" t="s">
        <v>509</v>
      </c>
      <c r="H3" s="196" t="s">
        <v>3</v>
      </c>
      <c r="I3" s="196" t="s">
        <v>507</v>
      </c>
      <c r="J3" s="197" t="s">
        <v>508</v>
      </c>
      <c r="K3" s="197" t="s">
        <v>513</v>
      </c>
      <c r="L3" s="198" t="s">
        <v>509</v>
      </c>
      <c r="N3" s="196" t="s">
        <v>3</v>
      </c>
      <c r="O3" s="196" t="s">
        <v>507</v>
      </c>
      <c r="P3" s="197" t="s">
        <v>508</v>
      </c>
      <c r="Q3" s="197" t="s">
        <v>513</v>
      </c>
      <c r="R3" s="198" t="s">
        <v>509</v>
      </c>
      <c r="T3" s="196" t="s">
        <v>3</v>
      </c>
      <c r="U3" s="196" t="s">
        <v>507</v>
      </c>
      <c r="V3" s="197" t="s">
        <v>508</v>
      </c>
      <c r="W3" s="197" t="s">
        <v>513</v>
      </c>
      <c r="X3" s="198" t="s">
        <v>509</v>
      </c>
      <c r="Z3" s="196" t="s">
        <v>3</v>
      </c>
      <c r="AA3" s="196" t="s">
        <v>507</v>
      </c>
      <c r="AB3" s="196" t="s">
        <v>508</v>
      </c>
      <c r="AC3" s="197" t="s">
        <v>513</v>
      </c>
      <c r="AD3" s="198" t="s">
        <v>509</v>
      </c>
    </row>
    <row r="4" spans="2:30" ht="15.75" x14ac:dyDescent="0.25">
      <c r="B4" s="300" t="s">
        <v>92</v>
      </c>
      <c r="C4" s="341">
        <v>150</v>
      </c>
      <c r="D4" s="108" t="s">
        <v>12</v>
      </c>
      <c r="E4" s="320">
        <v>18.899999999999999</v>
      </c>
      <c r="F4" s="203">
        <f>C4*E4</f>
        <v>2835</v>
      </c>
      <c r="H4" s="193" t="s">
        <v>31</v>
      </c>
      <c r="I4" s="341">
        <v>150</v>
      </c>
      <c r="J4" s="108" t="s">
        <v>12</v>
      </c>
      <c r="K4" s="320">
        <v>21</v>
      </c>
      <c r="L4" s="203">
        <f>I4*K4</f>
        <v>3150</v>
      </c>
      <c r="N4" s="232" t="s">
        <v>402</v>
      </c>
      <c r="O4" s="341">
        <v>150</v>
      </c>
      <c r="P4" s="108" t="s">
        <v>12</v>
      </c>
      <c r="Q4" s="320">
        <v>30.33</v>
      </c>
      <c r="R4" s="203">
        <f>O4*Q4</f>
        <v>4549.5</v>
      </c>
      <c r="T4" s="232" t="s">
        <v>405</v>
      </c>
      <c r="U4" s="341">
        <v>150</v>
      </c>
      <c r="V4" s="108" t="s">
        <v>12</v>
      </c>
      <c r="W4" s="320">
        <v>32.799999999999997</v>
      </c>
      <c r="X4" s="203">
        <f>U4*W4</f>
        <v>4920</v>
      </c>
      <c r="Z4" s="232" t="s">
        <v>418</v>
      </c>
      <c r="AA4" s="15">
        <v>150</v>
      </c>
      <c r="AB4" s="111" t="s">
        <v>12</v>
      </c>
      <c r="AC4" s="320">
        <v>20</v>
      </c>
      <c r="AD4" s="203">
        <f>AA4*AC4</f>
        <v>3000</v>
      </c>
    </row>
    <row r="5" spans="2:30" ht="15" x14ac:dyDescent="0.25">
      <c r="B5" s="301" t="s">
        <v>40</v>
      </c>
      <c r="C5" s="346">
        <v>2</v>
      </c>
      <c r="D5" s="108" t="s">
        <v>12</v>
      </c>
      <c r="E5" s="295">
        <v>2.6</v>
      </c>
      <c r="F5" s="203">
        <f t="shared" ref="F5:F19" si="0">C5*E5</f>
        <v>5.2</v>
      </c>
      <c r="H5" s="194" t="s">
        <v>40</v>
      </c>
      <c r="I5" s="254">
        <v>4</v>
      </c>
      <c r="J5" s="108" t="s">
        <v>12</v>
      </c>
      <c r="K5" s="295">
        <v>2.6</v>
      </c>
      <c r="L5" s="203">
        <f t="shared" ref="L5:L14" si="1">I5*K5</f>
        <v>10.4</v>
      </c>
      <c r="N5" s="233" t="s">
        <v>40</v>
      </c>
      <c r="O5" s="254">
        <v>2</v>
      </c>
      <c r="P5" s="108" t="s">
        <v>12</v>
      </c>
      <c r="Q5" s="295">
        <v>2.6</v>
      </c>
      <c r="R5" s="203">
        <f t="shared" ref="R5:R15" si="2">O5*Q5</f>
        <v>5.2</v>
      </c>
      <c r="T5" s="233" t="s">
        <v>40</v>
      </c>
      <c r="U5" s="254">
        <v>4</v>
      </c>
      <c r="V5" s="108" t="s">
        <v>12</v>
      </c>
      <c r="W5" s="295">
        <v>2.6</v>
      </c>
      <c r="X5" s="203">
        <f t="shared" ref="X5:X15" si="3">U5*W5</f>
        <v>10.4</v>
      </c>
      <c r="Z5" s="233" t="s">
        <v>40</v>
      </c>
      <c r="AA5" s="24">
        <v>2</v>
      </c>
      <c r="AB5" s="100" t="s">
        <v>12</v>
      </c>
      <c r="AC5" s="295">
        <v>2.6</v>
      </c>
      <c r="AD5" s="203">
        <f t="shared" ref="AD5:AD14" si="4">AA5*AC5</f>
        <v>5.2</v>
      </c>
    </row>
    <row r="6" spans="2:30" ht="15" x14ac:dyDescent="0.25">
      <c r="B6" s="301" t="s">
        <v>41</v>
      </c>
      <c r="C6" s="254">
        <v>1</v>
      </c>
      <c r="D6" s="108" t="s">
        <v>12</v>
      </c>
      <c r="E6" s="295">
        <v>58.17</v>
      </c>
      <c r="F6" s="203">
        <f t="shared" si="0"/>
        <v>58.17</v>
      </c>
      <c r="H6" s="194" t="s">
        <v>42</v>
      </c>
      <c r="I6" s="254">
        <v>4</v>
      </c>
      <c r="J6" s="108" t="s">
        <v>12</v>
      </c>
      <c r="K6" s="295">
        <v>11</v>
      </c>
      <c r="L6" s="203">
        <f t="shared" si="1"/>
        <v>44</v>
      </c>
      <c r="N6" s="233" t="s">
        <v>401</v>
      </c>
      <c r="O6" s="254">
        <v>1</v>
      </c>
      <c r="P6" s="108" t="s">
        <v>12</v>
      </c>
      <c r="Q6" s="295">
        <v>58.17</v>
      </c>
      <c r="R6" s="203">
        <f t="shared" si="2"/>
        <v>58.17</v>
      </c>
      <c r="T6" s="233" t="s">
        <v>41</v>
      </c>
      <c r="U6" s="254">
        <v>2</v>
      </c>
      <c r="V6" s="108" t="s">
        <v>12</v>
      </c>
      <c r="W6" s="295">
        <v>58.17</v>
      </c>
      <c r="X6" s="203">
        <f t="shared" si="3"/>
        <v>116.34</v>
      </c>
      <c r="Z6" s="233" t="s">
        <v>41</v>
      </c>
      <c r="AA6" s="24">
        <v>1</v>
      </c>
      <c r="AB6" s="100" t="s">
        <v>12</v>
      </c>
      <c r="AC6" s="295">
        <v>58.17</v>
      </c>
      <c r="AD6" s="203">
        <f t="shared" si="4"/>
        <v>58.17</v>
      </c>
    </row>
    <row r="7" spans="2:30" ht="15" x14ac:dyDescent="0.25">
      <c r="B7" s="301" t="s">
        <v>42</v>
      </c>
      <c r="C7" s="254">
        <v>2</v>
      </c>
      <c r="D7" s="108" t="s">
        <v>12</v>
      </c>
      <c r="E7" s="295">
        <v>11</v>
      </c>
      <c r="F7" s="203">
        <f t="shared" si="0"/>
        <v>22</v>
      </c>
      <c r="H7" s="194" t="s">
        <v>41</v>
      </c>
      <c r="I7" s="254">
        <v>2</v>
      </c>
      <c r="J7" s="108" t="s">
        <v>12</v>
      </c>
      <c r="K7" s="295">
        <v>58.17</v>
      </c>
      <c r="L7" s="203">
        <f t="shared" si="1"/>
        <v>116.34</v>
      </c>
      <c r="N7" s="233" t="s">
        <v>35</v>
      </c>
      <c r="O7" s="254">
        <v>3</v>
      </c>
      <c r="P7" s="108" t="s">
        <v>12</v>
      </c>
      <c r="Q7" s="295">
        <v>11</v>
      </c>
      <c r="R7" s="203">
        <f t="shared" si="2"/>
        <v>33</v>
      </c>
      <c r="T7" s="236" t="s">
        <v>42</v>
      </c>
      <c r="U7" s="254">
        <v>6</v>
      </c>
      <c r="V7" s="108" t="s">
        <v>12</v>
      </c>
      <c r="W7" s="253">
        <v>11</v>
      </c>
      <c r="X7" s="203">
        <f t="shared" si="3"/>
        <v>66</v>
      </c>
      <c r="Z7" s="233" t="s">
        <v>42</v>
      </c>
      <c r="AA7" s="24">
        <v>2</v>
      </c>
      <c r="AB7" s="100" t="s">
        <v>12</v>
      </c>
      <c r="AC7" s="295">
        <v>11</v>
      </c>
      <c r="AD7" s="203">
        <f t="shared" si="4"/>
        <v>22</v>
      </c>
    </row>
    <row r="8" spans="2:30" ht="15" x14ac:dyDescent="0.25">
      <c r="B8" s="301" t="s">
        <v>36</v>
      </c>
      <c r="C8" s="254">
        <v>70</v>
      </c>
      <c r="D8" s="108" t="s">
        <v>59</v>
      </c>
      <c r="E8" s="295">
        <v>23.9</v>
      </c>
      <c r="F8" s="203">
        <f t="shared" si="0"/>
        <v>1673</v>
      </c>
      <c r="H8" s="194" t="s">
        <v>399</v>
      </c>
      <c r="I8" s="254">
        <v>4</v>
      </c>
      <c r="J8" s="108" t="s">
        <v>59</v>
      </c>
      <c r="K8" s="295">
        <v>10</v>
      </c>
      <c r="L8" s="203">
        <f t="shared" si="1"/>
        <v>40</v>
      </c>
      <c r="N8" s="233" t="s">
        <v>400</v>
      </c>
      <c r="O8" s="254">
        <v>20</v>
      </c>
      <c r="P8" s="108" t="s">
        <v>59</v>
      </c>
      <c r="Q8" s="295">
        <v>3.9</v>
      </c>
      <c r="R8" s="203">
        <f t="shared" si="2"/>
        <v>78</v>
      </c>
      <c r="T8" s="233" t="s">
        <v>404</v>
      </c>
      <c r="U8" s="254">
        <v>10</v>
      </c>
      <c r="V8" s="108" t="s">
        <v>108</v>
      </c>
      <c r="W8" s="295">
        <v>4.9000000000000004</v>
      </c>
      <c r="X8" s="203">
        <f t="shared" si="3"/>
        <v>49</v>
      </c>
      <c r="Z8" s="233" t="s">
        <v>419</v>
      </c>
      <c r="AA8" s="24">
        <v>100</v>
      </c>
      <c r="AB8" s="100" t="s">
        <v>5</v>
      </c>
      <c r="AC8" s="295">
        <v>2.5</v>
      </c>
      <c r="AD8" s="203">
        <f t="shared" si="4"/>
        <v>250</v>
      </c>
    </row>
    <row r="9" spans="2:30" ht="15" x14ac:dyDescent="0.25">
      <c r="B9" s="301" t="s">
        <v>93</v>
      </c>
      <c r="C9" s="254">
        <v>50</v>
      </c>
      <c r="D9" s="108" t="s">
        <v>102</v>
      </c>
      <c r="E9" s="295">
        <v>26.35</v>
      </c>
      <c r="F9" s="203">
        <f t="shared" si="0"/>
        <v>1317.5</v>
      </c>
      <c r="H9" s="194" t="s">
        <v>39</v>
      </c>
      <c r="I9" s="254">
        <v>40</v>
      </c>
      <c r="J9" s="108" t="s">
        <v>108</v>
      </c>
      <c r="K9" s="295">
        <v>23.74</v>
      </c>
      <c r="L9" s="203">
        <f t="shared" si="1"/>
        <v>949.59999999999991</v>
      </c>
      <c r="N9" s="233" t="s">
        <v>39</v>
      </c>
      <c r="O9" s="254">
        <v>40</v>
      </c>
      <c r="P9" s="108" t="s">
        <v>59</v>
      </c>
      <c r="Q9" s="295">
        <v>23.74</v>
      </c>
      <c r="R9" s="203">
        <f t="shared" si="2"/>
        <v>949.59999999999991</v>
      </c>
      <c r="T9" s="233" t="s">
        <v>399</v>
      </c>
      <c r="U9" s="254">
        <v>4</v>
      </c>
      <c r="V9" s="108" t="s">
        <v>59</v>
      </c>
      <c r="W9" s="253">
        <v>10</v>
      </c>
      <c r="X9" s="203">
        <f t="shared" si="3"/>
        <v>40</v>
      </c>
      <c r="Z9" s="233" t="s">
        <v>420</v>
      </c>
      <c r="AA9" s="153">
        <v>125</v>
      </c>
      <c r="AB9" s="100" t="s">
        <v>102</v>
      </c>
      <c r="AC9" s="295">
        <v>2.94</v>
      </c>
      <c r="AD9" s="203">
        <f t="shared" si="4"/>
        <v>367.5</v>
      </c>
    </row>
    <row r="10" spans="2:30" ht="15.75" x14ac:dyDescent="0.25">
      <c r="B10" s="302" t="s">
        <v>32</v>
      </c>
      <c r="C10" s="342">
        <v>60</v>
      </c>
      <c r="D10" s="270" t="s">
        <v>12</v>
      </c>
      <c r="E10" s="296">
        <v>2.91</v>
      </c>
      <c r="F10" s="203">
        <f t="shared" si="0"/>
        <v>174.60000000000002</v>
      </c>
      <c r="H10" s="231" t="s">
        <v>421</v>
      </c>
      <c r="I10" s="342">
        <v>1</v>
      </c>
      <c r="J10" s="270" t="s">
        <v>12</v>
      </c>
      <c r="K10" s="297">
        <v>3950</v>
      </c>
      <c r="L10" s="203">
        <f t="shared" si="1"/>
        <v>3950</v>
      </c>
      <c r="N10" s="234" t="s">
        <v>72</v>
      </c>
      <c r="O10" s="342">
        <v>10</v>
      </c>
      <c r="P10" s="270" t="s">
        <v>59</v>
      </c>
      <c r="Q10" s="306">
        <v>31.1</v>
      </c>
      <c r="R10" s="203">
        <f t="shared" si="2"/>
        <v>311</v>
      </c>
      <c r="T10" s="234" t="s">
        <v>403</v>
      </c>
      <c r="U10" s="342">
        <v>10</v>
      </c>
      <c r="V10" s="270" t="s">
        <v>12</v>
      </c>
      <c r="W10" s="307">
        <v>16</v>
      </c>
      <c r="X10" s="203">
        <f t="shared" si="3"/>
        <v>160</v>
      </c>
      <c r="Z10" s="234" t="s">
        <v>421</v>
      </c>
      <c r="AA10" s="35">
        <v>1</v>
      </c>
      <c r="AB10" s="39" t="s">
        <v>12</v>
      </c>
      <c r="AC10" s="297">
        <v>3950</v>
      </c>
      <c r="AD10" s="203">
        <f t="shared" si="4"/>
        <v>3950</v>
      </c>
    </row>
    <row r="11" spans="2:30" ht="15.75" x14ac:dyDescent="0.25">
      <c r="B11" s="302" t="s">
        <v>421</v>
      </c>
      <c r="C11" s="342">
        <v>1</v>
      </c>
      <c r="D11" s="270" t="s">
        <v>428</v>
      </c>
      <c r="E11" s="297">
        <v>3950</v>
      </c>
      <c r="F11" s="203">
        <f t="shared" si="0"/>
        <v>3950</v>
      </c>
      <c r="H11" s="193" t="s">
        <v>427</v>
      </c>
      <c r="I11" s="255">
        <v>1</v>
      </c>
      <c r="J11" s="270" t="s">
        <v>428</v>
      </c>
      <c r="K11" s="270">
        <v>2278</v>
      </c>
      <c r="L11" s="294">
        <f t="shared" si="1"/>
        <v>2278</v>
      </c>
      <c r="N11" s="234" t="s">
        <v>421</v>
      </c>
      <c r="O11" s="342">
        <v>1</v>
      </c>
      <c r="P11" s="270" t="s">
        <v>12</v>
      </c>
      <c r="Q11" s="307">
        <v>3950</v>
      </c>
      <c r="R11" s="203">
        <f t="shared" si="2"/>
        <v>3950</v>
      </c>
      <c r="T11" s="234" t="s">
        <v>421</v>
      </c>
      <c r="U11" s="342">
        <v>1</v>
      </c>
      <c r="V11" s="270" t="s">
        <v>12</v>
      </c>
      <c r="W11" s="307">
        <v>3950</v>
      </c>
      <c r="X11" s="203">
        <f t="shared" si="3"/>
        <v>3950</v>
      </c>
      <c r="Z11" s="235" t="s">
        <v>427</v>
      </c>
      <c r="AA11" s="38">
        <v>1</v>
      </c>
      <c r="AB11" s="39" t="s">
        <v>428</v>
      </c>
      <c r="AC11" s="270">
        <v>2278</v>
      </c>
      <c r="AD11" s="203">
        <f t="shared" si="4"/>
        <v>2278</v>
      </c>
    </row>
    <row r="12" spans="2:30" ht="15.75" x14ac:dyDescent="0.25">
      <c r="B12" s="338" t="s">
        <v>757</v>
      </c>
      <c r="C12" s="343">
        <v>100</v>
      </c>
      <c r="D12" s="270" t="s">
        <v>12</v>
      </c>
      <c r="E12" s="296">
        <v>4.1100000000000003</v>
      </c>
      <c r="F12" s="203">
        <f t="shared" si="0"/>
        <v>411.00000000000006</v>
      </c>
      <c r="H12" s="338" t="s">
        <v>757</v>
      </c>
      <c r="I12" s="343">
        <v>100</v>
      </c>
      <c r="J12" s="270" t="s">
        <v>12</v>
      </c>
      <c r="K12" s="340">
        <v>4.1100000000000003</v>
      </c>
      <c r="L12" s="294">
        <f t="shared" si="1"/>
        <v>411.00000000000006</v>
      </c>
      <c r="N12" s="338" t="s">
        <v>757</v>
      </c>
      <c r="O12" s="343">
        <v>100</v>
      </c>
      <c r="P12" s="270" t="s">
        <v>12</v>
      </c>
      <c r="Q12" s="340">
        <v>4.1100000000000003</v>
      </c>
      <c r="R12" s="294">
        <f t="shared" si="2"/>
        <v>411.00000000000006</v>
      </c>
      <c r="T12" s="338" t="s">
        <v>757</v>
      </c>
      <c r="U12" s="343">
        <v>100</v>
      </c>
      <c r="V12" s="270" t="s">
        <v>12</v>
      </c>
      <c r="W12" s="340">
        <v>4.1100000000000003</v>
      </c>
      <c r="X12" s="294">
        <f t="shared" si="3"/>
        <v>411.00000000000006</v>
      </c>
      <c r="Z12" s="338" t="s">
        <v>757</v>
      </c>
      <c r="AA12" s="339">
        <v>100</v>
      </c>
      <c r="AB12" s="42" t="s">
        <v>12</v>
      </c>
      <c r="AC12" s="340">
        <v>4.1100000000000003</v>
      </c>
      <c r="AD12" s="294">
        <f t="shared" si="4"/>
        <v>411.00000000000006</v>
      </c>
    </row>
    <row r="13" spans="2:30" ht="15.75" x14ac:dyDescent="0.25">
      <c r="B13" s="338" t="s">
        <v>758</v>
      </c>
      <c r="C13" s="343">
        <v>25</v>
      </c>
      <c r="D13" s="270" t="s">
        <v>12</v>
      </c>
      <c r="E13" s="297">
        <v>3.3</v>
      </c>
      <c r="F13" s="203">
        <f t="shared" si="0"/>
        <v>82.5</v>
      </c>
      <c r="H13" s="338" t="s">
        <v>758</v>
      </c>
      <c r="I13" s="343">
        <v>25</v>
      </c>
      <c r="J13" s="270" t="s">
        <v>12</v>
      </c>
      <c r="K13" s="340">
        <v>3.3</v>
      </c>
      <c r="L13" s="294">
        <f t="shared" si="1"/>
        <v>82.5</v>
      </c>
      <c r="N13" s="338" t="s">
        <v>758</v>
      </c>
      <c r="O13" s="343">
        <v>25</v>
      </c>
      <c r="P13" s="270" t="s">
        <v>12</v>
      </c>
      <c r="Q13" s="340">
        <v>3.3</v>
      </c>
      <c r="R13" s="294">
        <f t="shared" si="2"/>
        <v>82.5</v>
      </c>
      <c r="T13" s="338" t="s">
        <v>758</v>
      </c>
      <c r="U13" s="343">
        <v>25</v>
      </c>
      <c r="V13" s="270" t="s">
        <v>12</v>
      </c>
      <c r="W13" s="340">
        <v>3.3</v>
      </c>
      <c r="X13" s="294">
        <f t="shared" si="3"/>
        <v>82.5</v>
      </c>
      <c r="Z13" s="338" t="s">
        <v>758</v>
      </c>
      <c r="AA13" s="339">
        <v>25</v>
      </c>
      <c r="AB13" s="42" t="s">
        <v>12</v>
      </c>
      <c r="AC13" s="340">
        <v>3.3</v>
      </c>
      <c r="AD13" s="294">
        <f t="shared" si="4"/>
        <v>82.5</v>
      </c>
    </row>
    <row r="14" spans="2:30" ht="15.75" x14ac:dyDescent="0.25">
      <c r="B14" s="338" t="s">
        <v>759</v>
      </c>
      <c r="C14" s="343">
        <v>25</v>
      </c>
      <c r="D14" s="270" t="s">
        <v>12</v>
      </c>
      <c r="E14" s="297">
        <v>4.5</v>
      </c>
      <c r="F14" s="203">
        <f t="shared" si="0"/>
        <v>112.5</v>
      </c>
      <c r="H14" s="338" t="s">
        <v>759</v>
      </c>
      <c r="I14" s="343">
        <v>25</v>
      </c>
      <c r="J14" s="270" t="s">
        <v>12</v>
      </c>
      <c r="K14" s="340">
        <v>4.5</v>
      </c>
      <c r="L14" s="203">
        <f t="shared" si="1"/>
        <v>112.5</v>
      </c>
      <c r="N14" s="338" t="s">
        <v>759</v>
      </c>
      <c r="O14" s="343">
        <v>25</v>
      </c>
      <c r="P14" s="270" t="s">
        <v>12</v>
      </c>
      <c r="Q14" s="340">
        <v>4.5</v>
      </c>
      <c r="R14" s="203">
        <f t="shared" si="2"/>
        <v>112.5</v>
      </c>
      <c r="T14" s="338" t="s">
        <v>759</v>
      </c>
      <c r="U14" s="343">
        <v>25</v>
      </c>
      <c r="V14" s="270" t="s">
        <v>12</v>
      </c>
      <c r="W14" s="340">
        <v>4.5</v>
      </c>
      <c r="X14" s="203">
        <f t="shared" si="3"/>
        <v>112.5</v>
      </c>
      <c r="Z14" s="338" t="s">
        <v>759</v>
      </c>
      <c r="AA14" s="339">
        <v>25</v>
      </c>
      <c r="AB14" s="42" t="s">
        <v>12</v>
      </c>
      <c r="AC14" s="340">
        <v>4.5</v>
      </c>
      <c r="AD14" s="203">
        <f t="shared" si="4"/>
        <v>112.5</v>
      </c>
    </row>
    <row r="15" spans="2:30" ht="15.75" x14ac:dyDescent="0.25">
      <c r="B15" s="303" t="s">
        <v>427</v>
      </c>
      <c r="C15" s="344">
        <v>1</v>
      </c>
      <c r="D15" s="270" t="s">
        <v>428</v>
      </c>
      <c r="E15" s="270">
        <v>2278</v>
      </c>
      <c r="F15" s="294">
        <f t="shared" si="0"/>
        <v>2278</v>
      </c>
      <c r="H15" s="304" t="s">
        <v>580</v>
      </c>
      <c r="I15" s="270"/>
      <c r="J15" s="270"/>
      <c r="K15" s="270"/>
      <c r="L15" s="305">
        <f>SUM(L4:L14)</f>
        <v>11144.34</v>
      </c>
      <c r="N15" s="235" t="s">
        <v>427</v>
      </c>
      <c r="O15" s="344">
        <v>1</v>
      </c>
      <c r="P15" s="270" t="s">
        <v>428</v>
      </c>
      <c r="Q15" s="270">
        <v>2278</v>
      </c>
      <c r="R15" s="203">
        <f t="shared" si="2"/>
        <v>2278</v>
      </c>
      <c r="T15" s="235" t="s">
        <v>427</v>
      </c>
      <c r="U15" s="255">
        <v>1</v>
      </c>
      <c r="V15" s="270" t="s">
        <v>428</v>
      </c>
      <c r="W15" s="270">
        <v>2278</v>
      </c>
      <c r="X15" s="203">
        <f t="shared" si="3"/>
        <v>2278</v>
      </c>
      <c r="Z15" s="304" t="s">
        <v>580</v>
      </c>
      <c r="AA15" s="38"/>
      <c r="AB15" s="36"/>
      <c r="AC15" s="270"/>
      <c r="AD15" s="305">
        <f>SUM(AD4:AD14)</f>
        <v>10536.869999999999</v>
      </c>
    </row>
    <row r="16" spans="2:30" ht="15.75" x14ac:dyDescent="0.25">
      <c r="B16" s="304" t="s">
        <v>580</v>
      </c>
      <c r="C16" s="270"/>
      <c r="D16" s="270"/>
      <c r="E16" s="270"/>
      <c r="F16" s="305">
        <f>SUM(F4:F15)</f>
        <v>12919.470000000001</v>
      </c>
      <c r="H16" s="216" t="s">
        <v>512</v>
      </c>
      <c r="I16" s="217"/>
      <c r="J16" s="217"/>
      <c r="K16" s="217"/>
      <c r="L16" s="218"/>
      <c r="N16" s="304" t="s">
        <v>580</v>
      </c>
      <c r="O16" s="270"/>
      <c r="P16" s="270"/>
      <c r="Q16" s="270"/>
      <c r="R16" s="305">
        <f>SUM(R4:R15)</f>
        <v>12818.47</v>
      </c>
      <c r="T16" s="304" t="s">
        <v>580</v>
      </c>
      <c r="U16" s="255"/>
      <c r="V16" s="270"/>
      <c r="W16" s="270"/>
      <c r="X16" s="203">
        <f>SUM(X4:X15)</f>
        <v>12195.74</v>
      </c>
      <c r="Z16" s="216" t="s">
        <v>512</v>
      </c>
      <c r="AA16" s="217"/>
      <c r="AB16" s="217"/>
      <c r="AC16" s="217"/>
      <c r="AD16" s="218"/>
    </row>
    <row r="17" spans="2:30" ht="15" x14ac:dyDescent="0.25">
      <c r="B17" s="216" t="s">
        <v>512</v>
      </c>
      <c r="C17" s="217"/>
      <c r="D17" s="217"/>
      <c r="E17" s="217"/>
      <c r="F17" s="218"/>
      <c r="H17" s="290" t="s">
        <v>578</v>
      </c>
      <c r="I17" s="291">
        <v>1</v>
      </c>
      <c r="J17" s="292" t="s">
        <v>428</v>
      </c>
      <c r="K17" s="292">
        <v>1600</v>
      </c>
      <c r="L17" s="203">
        <f t="shared" ref="L17:L18" si="5">I17*K17</f>
        <v>1600</v>
      </c>
      <c r="N17" s="216" t="s">
        <v>512</v>
      </c>
      <c r="O17" s="217"/>
      <c r="P17" s="217"/>
      <c r="Q17" s="217"/>
      <c r="R17" s="218"/>
      <c r="T17" s="216" t="s">
        <v>512</v>
      </c>
      <c r="U17" s="217"/>
      <c r="V17" s="217"/>
      <c r="W17" s="217"/>
      <c r="X17" s="218"/>
      <c r="Z17" s="290" t="s">
        <v>578</v>
      </c>
      <c r="AA17" s="291">
        <v>1</v>
      </c>
      <c r="AB17" s="292" t="s">
        <v>428</v>
      </c>
      <c r="AC17" s="292">
        <v>1600</v>
      </c>
      <c r="AD17" s="203">
        <f t="shared" ref="AD17:AD18" si="6">AA17*AC17</f>
        <v>1600</v>
      </c>
    </row>
    <row r="18" spans="2:30" ht="15" x14ac:dyDescent="0.25">
      <c r="B18" s="290" t="s">
        <v>578</v>
      </c>
      <c r="C18" s="291">
        <v>1</v>
      </c>
      <c r="D18" s="292" t="s">
        <v>428</v>
      </c>
      <c r="E18" s="292">
        <v>1600</v>
      </c>
      <c r="F18" s="203">
        <f t="shared" si="0"/>
        <v>1600</v>
      </c>
      <c r="H18" s="290" t="s">
        <v>579</v>
      </c>
      <c r="I18" s="291">
        <v>2</v>
      </c>
      <c r="J18" s="292" t="s">
        <v>428</v>
      </c>
      <c r="K18" s="292">
        <v>70</v>
      </c>
      <c r="L18" s="203">
        <f t="shared" si="5"/>
        <v>140</v>
      </c>
      <c r="N18" s="290" t="s">
        <v>578</v>
      </c>
      <c r="O18" s="291">
        <v>1</v>
      </c>
      <c r="P18" s="292" t="s">
        <v>428</v>
      </c>
      <c r="Q18" s="292">
        <v>1600</v>
      </c>
      <c r="R18" s="203">
        <f t="shared" ref="R18:R19" si="7">O18*Q18</f>
        <v>1600</v>
      </c>
      <c r="T18" s="290" t="s">
        <v>578</v>
      </c>
      <c r="U18" s="291">
        <v>1</v>
      </c>
      <c r="V18" s="292" t="s">
        <v>428</v>
      </c>
      <c r="W18" s="292">
        <v>1600</v>
      </c>
      <c r="X18" s="203">
        <f t="shared" ref="X18:X19" si="8">U18*W18</f>
        <v>1600</v>
      </c>
      <c r="Z18" s="290" t="s">
        <v>579</v>
      </c>
      <c r="AA18" s="291">
        <v>2</v>
      </c>
      <c r="AB18" s="292" t="s">
        <v>428</v>
      </c>
      <c r="AC18" s="292">
        <v>70</v>
      </c>
      <c r="AD18" s="203">
        <f t="shared" si="6"/>
        <v>140</v>
      </c>
    </row>
    <row r="19" spans="2:30" ht="15.75" x14ac:dyDescent="0.25">
      <c r="B19" s="290" t="s">
        <v>579</v>
      </c>
      <c r="C19" s="291">
        <v>2</v>
      </c>
      <c r="D19" s="292" t="s">
        <v>428</v>
      </c>
      <c r="E19" s="292">
        <v>70</v>
      </c>
      <c r="F19" s="203">
        <f t="shared" si="0"/>
        <v>140</v>
      </c>
      <c r="H19" s="304" t="s">
        <v>580</v>
      </c>
      <c r="I19" s="220"/>
      <c r="J19" s="293"/>
      <c r="K19" s="293"/>
      <c r="L19" s="203">
        <f>SUM(L17:L18)</f>
        <v>1740</v>
      </c>
      <c r="N19" s="290" t="s">
        <v>579</v>
      </c>
      <c r="O19" s="291">
        <v>2</v>
      </c>
      <c r="P19" s="292" t="s">
        <v>428</v>
      </c>
      <c r="Q19" s="292">
        <v>70</v>
      </c>
      <c r="R19" s="203">
        <f t="shared" si="7"/>
        <v>140</v>
      </c>
      <c r="T19" s="290" t="s">
        <v>579</v>
      </c>
      <c r="U19" s="291">
        <v>2</v>
      </c>
      <c r="V19" s="292" t="s">
        <v>428</v>
      </c>
      <c r="W19" s="292">
        <v>70</v>
      </c>
      <c r="X19" s="203">
        <f t="shared" si="8"/>
        <v>140</v>
      </c>
      <c r="Z19" s="219"/>
      <c r="AA19" s="220"/>
      <c r="AB19" s="221"/>
      <c r="AC19" s="221"/>
      <c r="AD19" s="203">
        <f>SUM(AD17:AD18)</f>
        <v>1740</v>
      </c>
    </row>
    <row r="20" spans="2:30" ht="15.75" x14ac:dyDescent="0.25">
      <c r="B20" s="304" t="s">
        <v>580</v>
      </c>
      <c r="C20" s="220"/>
      <c r="D20" s="293"/>
      <c r="E20" s="293"/>
      <c r="F20" s="203">
        <f>SUM(F18:F19)</f>
        <v>1740</v>
      </c>
      <c r="H20" s="357" t="s">
        <v>510</v>
      </c>
      <c r="I20" s="358"/>
      <c r="J20" s="358"/>
      <c r="K20" s="358"/>
      <c r="L20" s="359"/>
      <c r="N20" s="304" t="s">
        <v>580</v>
      </c>
      <c r="O20" s="293"/>
      <c r="P20" s="293"/>
      <c r="Q20" s="293"/>
      <c r="R20" s="203">
        <f>SUM(R18:R19)</f>
        <v>1740</v>
      </c>
      <c r="T20" s="304" t="s">
        <v>580</v>
      </c>
      <c r="U20" s="293"/>
      <c r="V20" s="293"/>
      <c r="W20" s="293"/>
      <c r="X20" s="203">
        <f>SUM(X18:X19)</f>
        <v>1740</v>
      </c>
      <c r="Z20" s="357" t="s">
        <v>510</v>
      </c>
      <c r="AA20" s="358"/>
      <c r="AB20" s="358"/>
      <c r="AC20" s="358"/>
      <c r="AD20" s="359"/>
    </row>
    <row r="21" spans="2:30" ht="15" x14ac:dyDescent="0.25">
      <c r="B21" s="357" t="s">
        <v>510</v>
      </c>
      <c r="C21" s="358"/>
      <c r="D21" s="358"/>
      <c r="E21" s="358"/>
      <c r="F21" s="359"/>
      <c r="H21" s="219" t="s">
        <v>511</v>
      </c>
      <c r="I21" s="223"/>
      <c r="J21" s="223"/>
      <c r="K21" s="224"/>
      <c r="L21" s="225">
        <f>L19+L15</f>
        <v>12884.34</v>
      </c>
      <c r="N21" s="357" t="s">
        <v>510</v>
      </c>
      <c r="O21" s="358"/>
      <c r="P21" s="358"/>
      <c r="Q21" s="358"/>
      <c r="R21" s="359"/>
      <c r="T21" s="357" t="s">
        <v>510</v>
      </c>
      <c r="U21" s="358"/>
      <c r="V21" s="358"/>
      <c r="W21" s="358"/>
      <c r="X21" s="359"/>
      <c r="Z21" s="219" t="s">
        <v>511</v>
      </c>
      <c r="AA21" s="223"/>
      <c r="AB21" s="223"/>
      <c r="AC21" s="224"/>
      <c r="AD21" s="225">
        <f>AD19+AD15</f>
        <v>12276.869999999999</v>
      </c>
    </row>
    <row r="22" spans="2:30" ht="15" x14ac:dyDescent="0.25">
      <c r="B22" s="219" t="s">
        <v>511</v>
      </c>
      <c r="C22" s="223"/>
      <c r="D22" s="223"/>
      <c r="E22" s="224"/>
      <c r="F22" s="225">
        <f>F20+F16</f>
        <v>14659.470000000001</v>
      </c>
      <c r="H22" s="226" t="s">
        <v>17</v>
      </c>
      <c r="I22" s="223"/>
      <c r="J22" s="223"/>
      <c r="K22" s="224"/>
      <c r="L22" s="227">
        <f>L21*0.1</f>
        <v>1288.4340000000002</v>
      </c>
      <c r="N22" s="219" t="s">
        <v>511</v>
      </c>
      <c r="O22" s="223"/>
      <c r="P22" s="223"/>
      <c r="Q22" s="224"/>
      <c r="R22" s="225">
        <f>R20+R16</f>
        <v>14558.47</v>
      </c>
      <c r="T22" s="219" t="s">
        <v>511</v>
      </c>
      <c r="U22" s="223"/>
      <c r="V22" s="223"/>
      <c r="W22" s="224"/>
      <c r="X22" s="225">
        <f>X20+X16</f>
        <v>13935.74</v>
      </c>
      <c r="Z22" s="226" t="s">
        <v>17</v>
      </c>
      <c r="AA22" s="223"/>
      <c r="AB22" s="223"/>
      <c r="AC22" s="224"/>
      <c r="AD22" s="227">
        <f>AD21*0.1</f>
        <v>1227.6869999999999</v>
      </c>
    </row>
    <row r="23" spans="2:30" ht="15" x14ac:dyDescent="0.25">
      <c r="B23" s="226" t="s">
        <v>17</v>
      </c>
      <c r="C23" s="223"/>
      <c r="D23" s="223"/>
      <c r="E23" s="224"/>
      <c r="F23" s="227">
        <f>F22*0.1</f>
        <v>1465.9470000000001</v>
      </c>
      <c r="H23" s="226" t="s">
        <v>18</v>
      </c>
      <c r="I23" s="223"/>
      <c r="J23" s="223"/>
      <c r="K23" s="224"/>
      <c r="L23" s="227">
        <f>SUM(L21:L22)</f>
        <v>14172.774000000001</v>
      </c>
      <c r="N23" s="226" t="s">
        <v>17</v>
      </c>
      <c r="O23" s="223"/>
      <c r="P23" s="223"/>
      <c r="Q23" s="224"/>
      <c r="R23" s="227">
        <f>R22*0.1</f>
        <v>1455.847</v>
      </c>
      <c r="T23" s="226" t="s">
        <v>17</v>
      </c>
      <c r="U23" s="223"/>
      <c r="V23" s="223"/>
      <c r="W23" s="224"/>
      <c r="X23" s="227">
        <f>X22*0.1</f>
        <v>1393.5740000000001</v>
      </c>
      <c r="Z23" s="226" t="s">
        <v>18</v>
      </c>
      <c r="AA23" s="223"/>
      <c r="AB23" s="223"/>
      <c r="AC23" s="224"/>
      <c r="AD23" s="227">
        <f>SUM(AD21:AD22)</f>
        <v>13504.556999999999</v>
      </c>
    </row>
    <row r="24" spans="2:30" ht="15" x14ac:dyDescent="0.25">
      <c r="B24" s="226" t="s">
        <v>18</v>
      </c>
      <c r="C24" s="223"/>
      <c r="D24" s="223"/>
      <c r="E24" s="224"/>
      <c r="F24" s="227">
        <f>SUM(F22:F23)</f>
        <v>16125.417000000001</v>
      </c>
      <c r="H24" s="219" t="s">
        <v>435</v>
      </c>
      <c r="I24" s="223"/>
      <c r="J24" s="223"/>
      <c r="K24" s="224"/>
      <c r="L24" s="225">
        <v>24900</v>
      </c>
      <c r="N24" s="226" t="s">
        <v>18</v>
      </c>
      <c r="O24" s="223"/>
      <c r="P24" s="223"/>
      <c r="Q24" s="224"/>
      <c r="R24" s="227">
        <f>SUM(R22:R23)</f>
        <v>16014.316999999999</v>
      </c>
      <c r="T24" s="226" t="s">
        <v>18</v>
      </c>
      <c r="U24" s="223"/>
      <c r="V24" s="223"/>
      <c r="W24" s="224"/>
      <c r="X24" s="227">
        <f>SUM(X22:X23)</f>
        <v>15329.314</v>
      </c>
      <c r="Z24" s="219" t="s">
        <v>435</v>
      </c>
      <c r="AA24" s="223"/>
      <c r="AB24" s="223"/>
      <c r="AC24" s="224"/>
      <c r="AD24" s="225">
        <v>25900</v>
      </c>
    </row>
    <row r="25" spans="2:30" ht="15.75" thickBot="1" x14ac:dyDescent="0.3">
      <c r="B25" s="219" t="s">
        <v>435</v>
      </c>
      <c r="C25" s="223"/>
      <c r="D25" s="223"/>
      <c r="E25" s="224"/>
      <c r="F25" s="225">
        <v>27900</v>
      </c>
      <c r="H25" s="228"/>
      <c r="I25" s="229"/>
      <c r="J25" s="229"/>
      <c r="K25" s="229"/>
      <c r="L25" s="230"/>
      <c r="N25" s="219" t="s">
        <v>435</v>
      </c>
      <c r="O25" s="223"/>
      <c r="P25" s="223"/>
      <c r="Q25" s="224"/>
      <c r="R25" s="225">
        <v>27900</v>
      </c>
      <c r="T25" s="219" t="s">
        <v>435</v>
      </c>
      <c r="U25" s="223"/>
      <c r="V25" s="223"/>
      <c r="W25" s="224"/>
      <c r="X25" s="225">
        <v>27900</v>
      </c>
      <c r="Z25" s="228"/>
      <c r="AA25" s="229"/>
      <c r="AB25" s="229"/>
      <c r="AC25" s="229"/>
      <c r="AD25" s="230"/>
    </row>
    <row r="26" spans="2:30" ht="15.75" thickBot="1" x14ac:dyDescent="0.3">
      <c r="B26" s="228"/>
      <c r="C26" s="229"/>
      <c r="D26" s="229"/>
      <c r="E26" s="229"/>
      <c r="F26" s="230"/>
      <c r="N26" s="228"/>
      <c r="O26" s="229"/>
      <c r="P26" s="229"/>
      <c r="Q26" s="229"/>
      <c r="R26" s="230"/>
      <c r="T26" s="228"/>
      <c r="U26" s="229"/>
      <c r="V26" s="229"/>
      <c r="W26" s="229"/>
      <c r="X26" s="230"/>
    </row>
  </sheetData>
  <mergeCells count="10">
    <mergeCell ref="T2:X2"/>
    <mergeCell ref="T21:X21"/>
    <mergeCell ref="Z2:AD2"/>
    <mergeCell ref="Z20:AD20"/>
    <mergeCell ref="B2:F2"/>
    <mergeCell ref="B21:F21"/>
    <mergeCell ref="H2:L2"/>
    <mergeCell ref="H20:L20"/>
    <mergeCell ref="N2:R2"/>
    <mergeCell ref="N21:R2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44D3-2931-4415-A03A-ECCAD0562546}">
  <dimension ref="B1:R69"/>
  <sheetViews>
    <sheetView topLeftCell="G1" workbookViewId="0">
      <selection activeCell="I4" sqref="I4:I7"/>
    </sheetView>
  </sheetViews>
  <sheetFormatPr baseColWidth="10" defaultRowHeight="12.75" x14ac:dyDescent="0.2"/>
  <cols>
    <col min="2" max="2" width="45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588</v>
      </c>
      <c r="C2" s="355"/>
      <c r="D2" s="355"/>
      <c r="E2" s="355"/>
      <c r="F2" s="356"/>
      <c r="H2" s="354" t="s">
        <v>603</v>
      </c>
      <c r="I2" s="355"/>
      <c r="J2" s="355"/>
      <c r="K2" s="355"/>
      <c r="L2" s="356"/>
      <c r="N2" s="354" t="s">
        <v>608</v>
      </c>
      <c r="O2" s="355"/>
      <c r="P2" s="355"/>
      <c r="Q2" s="355"/>
      <c r="R2" s="356"/>
    </row>
    <row r="3" spans="2:18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</row>
    <row r="4" spans="2:18" ht="15.75" x14ac:dyDescent="0.25">
      <c r="B4" s="257" t="s">
        <v>589</v>
      </c>
      <c r="C4" s="258">
        <v>250</v>
      </c>
      <c r="D4" s="259" t="s">
        <v>12</v>
      </c>
      <c r="E4" s="321">
        <v>26.9</v>
      </c>
      <c r="F4" s="261">
        <f>C4*E4</f>
        <v>6725</v>
      </c>
      <c r="H4" s="257" t="s">
        <v>604</v>
      </c>
      <c r="I4" s="258">
        <v>470</v>
      </c>
      <c r="J4" s="259" t="s">
        <v>12</v>
      </c>
      <c r="K4" s="321">
        <v>11.5</v>
      </c>
      <c r="L4" s="261">
        <f>I4*K4</f>
        <v>5405</v>
      </c>
      <c r="N4" s="257" t="s">
        <v>609</v>
      </c>
      <c r="O4" s="258">
        <v>100</v>
      </c>
      <c r="P4" s="259" t="s">
        <v>12</v>
      </c>
      <c r="Q4" s="321">
        <v>24.4</v>
      </c>
      <c r="R4" s="261">
        <f>O4*Q4</f>
        <v>2440</v>
      </c>
    </row>
    <row r="5" spans="2:18" ht="15" x14ac:dyDescent="0.25">
      <c r="B5" s="262" t="s">
        <v>362</v>
      </c>
      <c r="C5" s="108">
        <v>140</v>
      </c>
      <c r="D5" s="254" t="s">
        <v>12</v>
      </c>
      <c r="E5" s="320">
        <v>5.5</v>
      </c>
      <c r="F5" s="203">
        <f t="shared" ref="F5:F15" si="0">C5*E5</f>
        <v>770</v>
      </c>
      <c r="H5" s="262" t="s">
        <v>605</v>
      </c>
      <c r="I5" s="108">
        <v>200</v>
      </c>
      <c r="J5" s="254" t="s">
        <v>12</v>
      </c>
      <c r="K5" s="295">
        <v>10</v>
      </c>
      <c r="L5" s="203">
        <f t="shared" ref="L5:L11" si="1">I5*K5</f>
        <v>2000</v>
      </c>
      <c r="N5" s="262" t="s">
        <v>610</v>
      </c>
      <c r="O5" s="108">
        <v>100</v>
      </c>
      <c r="P5" s="254" t="s">
        <v>12</v>
      </c>
      <c r="Q5" s="253">
        <v>20</v>
      </c>
      <c r="R5" s="203">
        <f t="shared" ref="R5:R11" si="2">O5*Q5</f>
        <v>2000</v>
      </c>
    </row>
    <row r="6" spans="2:18" ht="15" x14ac:dyDescent="0.25">
      <c r="B6" s="262" t="s">
        <v>590</v>
      </c>
      <c r="C6" s="108">
        <v>80</v>
      </c>
      <c r="D6" s="254" t="s">
        <v>12</v>
      </c>
      <c r="E6" s="295">
        <v>8.14</v>
      </c>
      <c r="F6" s="203">
        <f t="shared" si="0"/>
        <v>651.20000000000005</v>
      </c>
      <c r="H6" s="262" t="s">
        <v>606</v>
      </c>
      <c r="I6" s="108">
        <v>100</v>
      </c>
      <c r="J6" s="254" t="s">
        <v>12</v>
      </c>
      <c r="K6" s="295">
        <v>6.25</v>
      </c>
      <c r="L6" s="203">
        <f t="shared" si="1"/>
        <v>625</v>
      </c>
      <c r="N6" s="262" t="s">
        <v>611</v>
      </c>
      <c r="O6" s="108">
        <v>40</v>
      </c>
      <c r="P6" s="254" t="s">
        <v>12</v>
      </c>
      <c r="Q6" s="320">
        <v>12.6</v>
      </c>
      <c r="R6" s="203">
        <f t="shared" si="2"/>
        <v>504</v>
      </c>
    </row>
    <row r="7" spans="2:18" ht="15" x14ac:dyDescent="0.25">
      <c r="B7" s="262" t="s">
        <v>54</v>
      </c>
      <c r="C7" s="108">
        <v>100</v>
      </c>
      <c r="D7" s="254" t="s">
        <v>12</v>
      </c>
      <c r="E7" s="320">
        <v>20.71</v>
      </c>
      <c r="F7" s="203">
        <f>C7*E7</f>
        <v>2071</v>
      </c>
      <c r="H7" s="262" t="s">
        <v>706</v>
      </c>
      <c r="I7" s="108">
        <v>100</v>
      </c>
      <c r="J7" s="254" t="s">
        <v>12</v>
      </c>
      <c r="K7" s="320">
        <v>10</v>
      </c>
      <c r="L7" s="203">
        <f t="shared" si="1"/>
        <v>1000</v>
      </c>
      <c r="N7" s="262" t="s">
        <v>612</v>
      </c>
      <c r="O7" s="108">
        <v>10</v>
      </c>
      <c r="P7" s="254" t="s">
        <v>12</v>
      </c>
      <c r="Q7" s="295">
        <v>8.14</v>
      </c>
      <c r="R7" s="203">
        <f t="shared" si="2"/>
        <v>81.400000000000006</v>
      </c>
    </row>
    <row r="8" spans="2:18" ht="15" x14ac:dyDescent="0.25">
      <c r="B8" s="262" t="s">
        <v>705</v>
      </c>
      <c r="C8" s="108">
        <v>40</v>
      </c>
      <c r="D8" s="254" t="s">
        <v>59</v>
      </c>
      <c r="E8" s="320">
        <v>10.8</v>
      </c>
      <c r="F8" s="203">
        <f>C8*E8</f>
        <v>432</v>
      </c>
      <c r="H8" s="262"/>
      <c r="I8" s="108"/>
      <c r="J8" s="254"/>
      <c r="K8" s="253"/>
      <c r="L8" s="203">
        <f t="shared" si="1"/>
        <v>0</v>
      </c>
      <c r="N8" s="262" t="s">
        <v>171</v>
      </c>
      <c r="O8" s="108">
        <v>10</v>
      </c>
      <c r="P8" s="254" t="s">
        <v>59</v>
      </c>
      <c r="Q8" s="320">
        <v>8.8000000000000007</v>
      </c>
      <c r="R8" s="203">
        <f t="shared" si="2"/>
        <v>88</v>
      </c>
    </row>
    <row r="9" spans="2:18" ht="15.75" x14ac:dyDescent="0.25">
      <c r="B9" s="262" t="s">
        <v>732</v>
      </c>
      <c r="C9" s="108">
        <v>15</v>
      </c>
      <c r="D9" s="255" t="s">
        <v>12</v>
      </c>
      <c r="E9" s="320">
        <v>8.8000000000000007</v>
      </c>
      <c r="F9" s="203">
        <f t="shared" si="0"/>
        <v>132</v>
      </c>
      <c r="H9" s="262"/>
      <c r="I9" s="108"/>
      <c r="J9" s="254"/>
      <c r="K9" s="253"/>
      <c r="L9" s="203">
        <f t="shared" si="1"/>
        <v>0</v>
      </c>
      <c r="N9" s="262" t="s">
        <v>718</v>
      </c>
      <c r="O9" s="108">
        <v>20</v>
      </c>
      <c r="P9" s="254" t="s">
        <v>12</v>
      </c>
      <c r="Q9" s="320">
        <v>22</v>
      </c>
      <c r="R9" s="203">
        <f t="shared" si="2"/>
        <v>440</v>
      </c>
    </row>
    <row r="10" spans="2:18" ht="15.75" x14ac:dyDescent="0.25">
      <c r="B10" s="262"/>
      <c r="C10" s="108"/>
      <c r="D10" s="255"/>
      <c r="E10" s="253"/>
      <c r="F10" s="203">
        <f t="shared" si="0"/>
        <v>0</v>
      </c>
      <c r="H10" s="262"/>
      <c r="I10" s="108"/>
      <c r="J10" s="255"/>
      <c r="K10" s="253"/>
      <c r="L10" s="203">
        <f t="shared" si="1"/>
        <v>0</v>
      </c>
      <c r="N10" s="262" t="s">
        <v>719</v>
      </c>
      <c r="O10" s="108">
        <v>10</v>
      </c>
      <c r="P10" s="255" t="s">
        <v>12</v>
      </c>
      <c r="Q10" s="253">
        <v>120</v>
      </c>
      <c r="R10" s="203">
        <f t="shared" si="2"/>
        <v>1200</v>
      </c>
    </row>
    <row r="11" spans="2:18" ht="15.75" x14ac:dyDescent="0.25">
      <c r="B11" s="265"/>
      <c r="C11" s="108"/>
      <c r="D11" s="255"/>
      <c r="E11" s="253"/>
      <c r="F11" s="203">
        <f t="shared" si="0"/>
        <v>0</v>
      </c>
      <c r="H11" s="265"/>
      <c r="I11" s="108"/>
      <c r="J11" s="255"/>
      <c r="K11" s="253"/>
      <c r="L11" s="203">
        <f t="shared" si="1"/>
        <v>0</v>
      </c>
      <c r="N11" s="265" t="s">
        <v>62</v>
      </c>
      <c r="O11" s="108">
        <v>30</v>
      </c>
      <c r="P11" s="255" t="s">
        <v>12</v>
      </c>
      <c r="Q11" s="295">
        <v>18.36</v>
      </c>
      <c r="R11" s="203">
        <f t="shared" si="2"/>
        <v>550.79999999999995</v>
      </c>
    </row>
    <row r="12" spans="2:18" ht="15.75" x14ac:dyDescent="0.25">
      <c r="B12" s="266"/>
      <c r="C12" s="108"/>
      <c r="D12" s="255"/>
      <c r="E12" s="253"/>
      <c r="F12" s="203">
        <f>SUM(F4:F11)</f>
        <v>10781.2</v>
      </c>
      <c r="H12" s="266"/>
      <c r="I12" s="108"/>
      <c r="J12" s="255"/>
      <c r="K12" s="253"/>
      <c r="L12" s="203">
        <f>SUM(L4:L11)</f>
        <v>9030</v>
      </c>
      <c r="N12" s="266" t="s">
        <v>63</v>
      </c>
      <c r="O12" s="108">
        <v>30</v>
      </c>
      <c r="P12" s="255" t="s">
        <v>12</v>
      </c>
      <c r="Q12" s="295">
        <v>14.76</v>
      </c>
      <c r="R12" s="203">
        <f t="shared" ref="R12" si="3">O12*Q12</f>
        <v>442.8</v>
      </c>
    </row>
    <row r="13" spans="2:18" ht="15.75" x14ac:dyDescent="0.25">
      <c r="B13" s="216" t="s">
        <v>512</v>
      </c>
      <c r="C13" s="217"/>
      <c r="D13" s="217"/>
      <c r="E13" s="217"/>
      <c r="F13" s="218"/>
      <c r="H13" s="216" t="s">
        <v>512</v>
      </c>
      <c r="I13" s="217"/>
      <c r="J13" s="217"/>
      <c r="K13" s="217"/>
      <c r="L13" s="218"/>
      <c r="N13" s="266"/>
      <c r="O13" s="108"/>
      <c r="P13" s="255"/>
      <c r="Q13" s="253"/>
      <c r="R13" s="203">
        <f>SUM(R4:R12)</f>
        <v>7747</v>
      </c>
    </row>
    <row r="14" spans="2:18" ht="15" x14ac:dyDescent="0.25">
      <c r="B14" s="290" t="s">
        <v>578</v>
      </c>
      <c r="C14" s="291">
        <v>1</v>
      </c>
      <c r="D14" s="292" t="s">
        <v>428</v>
      </c>
      <c r="E14" s="292">
        <v>1600</v>
      </c>
      <c r="F14" s="203">
        <f t="shared" si="0"/>
        <v>1600</v>
      </c>
      <c r="H14" s="290" t="s">
        <v>578</v>
      </c>
      <c r="I14" s="291">
        <v>1</v>
      </c>
      <c r="J14" s="292" t="s">
        <v>428</v>
      </c>
      <c r="K14" s="292">
        <v>1600</v>
      </c>
      <c r="L14" s="203">
        <f t="shared" ref="L14:L15" si="4">I14*K14</f>
        <v>1600</v>
      </c>
      <c r="N14" s="216" t="s">
        <v>512</v>
      </c>
      <c r="O14" s="217"/>
      <c r="P14" s="217"/>
      <c r="Q14" s="217"/>
      <c r="R14" s="218"/>
    </row>
    <row r="15" spans="2:18" ht="15" x14ac:dyDescent="0.25">
      <c r="B15" s="290" t="s">
        <v>579</v>
      </c>
      <c r="C15" s="291">
        <v>2</v>
      </c>
      <c r="D15" s="292" t="s">
        <v>428</v>
      </c>
      <c r="E15" s="292">
        <v>70</v>
      </c>
      <c r="F15" s="203">
        <f t="shared" si="0"/>
        <v>140</v>
      </c>
      <c r="H15" s="290" t="s">
        <v>579</v>
      </c>
      <c r="I15" s="291">
        <v>2</v>
      </c>
      <c r="J15" s="292" t="s">
        <v>428</v>
      </c>
      <c r="K15" s="292">
        <v>70</v>
      </c>
      <c r="L15" s="203">
        <f t="shared" si="4"/>
        <v>140</v>
      </c>
      <c r="N15" s="290" t="s">
        <v>578</v>
      </c>
      <c r="O15" s="291">
        <v>1</v>
      </c>
      <c r="P15" s="292" t="s">
        <v>428</v>
      </c>
      <c r="Q15" s="292">
        <v>1600</v>
      </c>
      <c r="R15" s="203">
        <f t="shared" ref="R15:R16" si="5">O15*Q15</f>
        <v>1600</v>
      </c>
    </row>
    <row r="16" spans="2:18" ht="15.75" x14ac:dyDescent="0.25">
      <c r="B16" s="304" t="s">
        <v>580</v>
      </c>
      <c r="C16" s="220"/>
      <c r="D16" s="293"/>
      <c r="E16" s="293"/>
      <c r="F16" s="203">
        <f>SUM(F14:F15)</f>
        <v>1740</v>
      </c>
      <c r="H16" s="304" t="s">
        <v>580</v>
      </c>
      <c r="I16" s="220"/>
      <c r="J16" s="293"/>
      <c r="K16" s="293"/>
      <c r="L16" s="203">
        <f>SUM(L14:L15)</f>
        <v>1740</v>
      </c>
      <c r="N16" s="290" t="s">
        <v>579</v>
      </c>
      <c r="O16" s="291">
        <v>2</v>
      </c>
      <c r="P16" s="292" t="s">
        <v>428</v>
      </c>
      <c r="Q16" s="292">
        <v>70</v>
      </c>
      <c r="R16" s="203">
        <f t="shared" si="5"/>
        <v>140</v>
      </c>
    </row>
    <row r="17" spans="2:18" ht="15.75" x14ac:dyDescent="0.25">
      <c r="B17" s="357" t="s">
        <v>510</v>
      </c>
      <c r="C17" s="358"/>
      <c r="D17" s="358"/>
      <c r="E17" s="358"/>
      <c r="F17" s="359"/>
      <c r="H17" s="357" t="s">
        <v>510</v>
      </c>
      <c r="I17" s="358"/>
      <c r="J17" s="358"/>
      <c r="K17" s="358"/>
      <c r="L17" s="359"/>
      <c r="N17" s="304" t="s">
        <v>580</v>
      </c>
      <c r="O17" s="220"/>
      <c r="P17" s="293"/>
      <c r="Q17" s="293"/>
      <c r="R17" s="203">
        <f>SUM(R15:R16)</f>
        <v>1740</v>
      </c>
    </row>
    <row r="18" spans="2:18" ht="15" x14ac:dyDescent="0.25">
      <c r="B18" s="219" t="s">
        <v>511</v>
      </c>
      <c r="C18" s="223"/>
      <c r="D18" s="223"/>
      <c r="E18" s="224"/>
      <c r="F18" s="225">
        <f>F12+F16</f>
        <v>12521.2</v>
      </c>
      <c r="H18" s="219" t="s">
        <v>511</v>
      </c>
      <c r="I18" s="223"/>
      <c r="J18" s="223"/>
      <c r="K18" s="224"/>
      <c r="L18" s="225">
        <f>L12+L16</f>
        <v>10770</v>
      </c>
      <c r="N18" s="357" t="s">
        <v>510</v>
      </c>
      <c r="O18" s="358"/>
      <c r="P18" s="358"/>
      <c r="Q18" s="358"/>
      <c r="R18" s="359"/>
    </row>
    <row r="19" spans="2:18" ht="15" x14ac:dyDescent="0.25">
      <c r="B19" s="226" t="s">
        <v>17</v>
      </c>
      <c r="C19" s="223"/>
      <c r="D19" s="223"/>
      <c r="E19" s="224"/>
      <c r="F19" s="227">
        <f>F18*0.1</f>
        <v>1252.1200000000001</v>
      </c>
      <c r="H19" s="226" t="s">
        <v>17</v>
      </c>
      <c r="I19" s="223"/>
      <c r="J19" s="223"/>
      <c r="K19" s="224"/>
      <c r="L19" s="227">
        <f>L18*0.1</f>
        <v>1077</v>
      </c>
      <c r="N19" s="219" t="s">
        <v>511</v>
      </c>
      <c r="O19" s="223"/>
      <c r="P19" s="223"/>
      <c r="Q19" s="224"/>
      <c r="R19" s="225">
        <f>R13+R17</f>
        <v>9487</v>
      </c>
    </row>
    <row r="20" spans="2:18" ht="15" x14ac:dyDescent="0.25">
      <c r="B20" s="226" t="s">
        <v>18</v>
      </c>
      <c r="C20" s="223"/>
      <c r="D20" s="223"/>
      <c r="E20" s="224"/>
      <c r="F20" s="227">
        <f>SUM(F18:F19)</f>
        <v>13773.320000000002</v>
      </c>
      <c r="H20" s="226" t="s">
        <v>18</v>
      </c>
      <c r="I20" s="223"/>
      <c r="J20" s="223"/>
      <c r="K20" s="224"/>
      <c r="L20" s="227">
        <f>SUM(L18:L19)</f>
        <v>11847</v>
      </c>
      <c r="N20" s="226" t="s">
        <v>17</v>
      </c>
      <c r="O20" s="223"/>
      <c r="P20" s="223"/>
      <c r="Q20" s="224"/>
      <c r="R20" s="227">
        <f>R19*0.1</f>
        <v>948.7</v>
      </c>
    </row>
    <row r="21" spans="2:18" ht="15" x14ac:dyDescent="0.25">
      <c r="B21" s="219" t="s">
        <v>435</v>
      </c>
      <c r="C21" s="223"/>
      <c r="D21" s="223"/>
      <c r="E21" s="224"/>
      <c r="F21" s="225">
        <v>47000</v>
      </c>
      <c r="H21" s="219" t="s">
        <v>435</v>
      </c>
      <c r="I21" s="223"/>
      <c r="J21" s="223"/>
      <c r="K21" s="224"/>
      <c r="L21" s="225">
        <v>47000</v>
      </c>
      <c r="N21" s="226" t="s">
        <v>18</v>
      </c>
      <c r="O21" s="223"/>
      <c r="P21" s="223"/>
      <c r="Q21" s="224"/>
      <c r="R21" s="227">
        <f>SUM(R19:R20)</f>
        <v>10435.700000000001</v>
      </c>
    </row>
    <row r="22" spans="2:18" ht="15.75" thickBot="1" x14ac:dyDescent="0.3">
      <c r="B22" s="228"/>
      <c r="C22" s="229"/>
      <c r="D22" s="229"/>
      <c r="E22" s="229"/>
      <c r="F22" s="230"/>
      <c r="H22" s="228"/>
      <c r="I22" s="229"/>
      <c r="J22" s="229"/>
      <c r="K22" s="229"/>
      <c r="L22" s="230"/>
      <c r="N22" s="219" t="s">
        <v>435</v>
      </c>
      <c r="O22" s="223"/>
      <c r="P22" s="223"/>
      <c r="Q22" s="224"/>
      <c r="R22" s="225">
        <v>40000</v>
      </c>
    </row>
    <row r="23" spans="2:18" ht="15.75" thickBot="1" x14ac:dyDescent="0.3">
      <c r="N23" s="228"/>
      <c r="O23" s="229"/>
      <c r="P23" s="229"/>
      <c r="Q23" s="229"/>
      <c r="R23" s="230"/>
    </row>
    <row r="24" spans="2:18" ht="15.75" thickBot="1" x14ac:dyDescent="0.3">
      <c r="B24" s="354" t="s">
        <v>658</v>
      </c>
      <c r="C24" s="355"/>
      <c r="D24" s="355"/>
      <c r="E24" s="355"/>
      <c r="F24" s="356"/>
      <c r="H24" s="354" t="s">
        <v>680</v>
      </c>
      <c r="I24" s="355"/>
      <c r="J24" s="355"/>
      <c r="K24" s="355"/>
      <c r="L24" s="356"/>
    </row>
    <row r="25" spans="2:18" ht="15.75" thickBot="1" x14ac:dyDescent="0.3">
      <c r="B25" s="197" t="s">
        <v>3</v>
      </c>
      <c r="C25" s="197" t="s">
        <v>507</v>
      </c>
      <c r="D25" s="197" t="s">
        <v>508</v>
      </c>
      <c r="E25" s="197" t="s">
        <v>513</v>
      </c>
      <c r="F25" s="256" t="s">
        <v>509</v>
      </c>
      <c r="H25" s="197" t="s">
        <v>3</v>
      </c>
      <c r="I25" s="197" t="s">
        <v>507</v>
      </c>
      <c r="J25" s="197" t="s">
        <v>508</v>
      </c>
      <c r="K25" s="197" t="s">
        <v>513</v>
      </c>
      <c r="L25" s="256" t="s">
        <v>509</v>
      </c>
      <c r="N25" s="354" t="s">
        <v>689</v>
      </c>
      <c r="O25" s="355"/>
      <c r="P25" s="355"/>
      <c r="Q25" s="355"/>
      <c r="R25" s="356"/>
    </row>
    <row r="26" spans="2:18" ht="16.5" thickBot="1" x14ac:dyDescent="0.3">
      <c r="B26" s="257" t="s">
        <v>697</v>
      </c>
      <c r="C26" s="258">
        <v>500</v>
      </c>
      <c r="D26" s="259" t="s">
        <v>12</v>
      </c>
      <c r="E26" s="321">
        <v>21</v>
      </c>
      <c r="F26" s="261">
        <f>C26*E26</f>
        <v>10500</v>
      </c>
      <c r="H26" s="257" t="s">
        <v>681</v>
      </c>
      <c r="I26" s="258">
        <v>1</v>
      </c>
      <c r="J26" s="259" t="s">
        <v>682</v>
      </c>
      <c r="K26" s="260">
        <v>1050</v>
      </c>
      <c r="L26" s="261">
        <f>I26*K26</f>
        <v>1050</v>
      </c>
      <c r="N26" s="197" t="s">
        <v>3</v>
      </c>
      <c r="O26" s="197" t="s">
        <v>507</v>
      </c>
      <c r="P26" s="197" t="s">
        <v>508</v>
      </c>
      <c r="Q26" s="197" t="s">
        <v>513</v>
      </c>
      <c r="R26" s="256" t="s">
        <v>509</v>
      </c>
    </row>
    <row r="27" spans="2:18" ht="15.75" x14ac:dyDescent="0.25">
      <c r="B27" s="262" t="s">
        <v>717</v>
      </c>
      <c r="C27" s="108">
        <v>90</v>
      </c>
      <c r="D27" s="254" t="s">
        <v>12</v>
      </c>
      <c r="E27" s="253"/>
      <c r="F27" s="203">
        <f t="shared" ref="F27:F33" si="6">C27*E27</f>
        <v>0</v>
      </c>
      <c r="H27" s="262" t="s">
        <v>683</v>
      </c>
      <c r="I27" s="108">
        <v>10</v>
      </c>
      <c r="J27" s="254" t="s">
        <v>12</v>
      </c>
      <c r="K27" s="320">
        <v>18.5</v>
      </c>
      <c r="L27" s="203">
        <f t="shared" ref="L27:L33" si="7">I27*K27</f>
        <v>185</v>
      </c>
      <c r="N27" s="257" t="s">
        <v>690</v>
      </c>
      <c r="O27" s="258">
        <v>180</v>
      </c>
      <c r="P27" s="259" t="s">
        <v>12</v>
      </c>
      <c r="Q27" s="321">
        <v>22.9</v>
      </c>
      <c r="R27" s="261">
        <f>O27*Q27</f>
        <v>4122</v>
      </c>
    </row>
    <row r="28" spans="2:18" ht="15" x14ac:dyDescent="0.25">
      <c r="B28" s="262" t="s">
        <v>555</v>
      </c>
      <c r="C28" s="108">
        <v>100</v>
      </c>
      <c r="D28" s="254" t="s">
        <v>12</v>
      </c>
      <c r="E28" s="320">
        <v>21</v>
      </c>
      <c r="F28" s="203">
        <f t="shared" si="6"/>
        <v>2100</v>
      </c>
      <c r="H28" s="262" t="s">
        <v>684</v>
      </c>
      <c r="I28" s="108">
        <v>150</v>
      </c>
      <c r="J28" s="254" t="s">
        <v>12</v>
      </c>
      <c r="K28" s="320">
        <v>22.9</v>
      </c>
      <c r="L28" s="203">
        <f t="shared" si="7"/>
        <v>3435</v>
      </c>
      <c r="N28" s="262" t="s">
        <v>691</v>
      </c>
      <c r="O28" s="108">
        <v>40</v>
      </c>
      <c r="P28" s="254" t="s">
        <v>12</v>
      </c>
      <c r="Q28" s="253">
        <v>32.28</v>
      </c>
      <c r="R28" s="203">
        <f t="shared" ref="R28:R36" si="8">O28*Q28</f>
        <v>1291.2</v>
      </c>
    </row>
    <row r="29" spans="2:18" ht="15" x14ac:dyDescent="0.25">
      <c r="B29" s="262" t="s">
        <v>698</v>
      </c>
      <c r="C29" s="108">
        <v>140</v>
      </c>
      <c r="D29" s="254" t="s">
        <v>12</v>
      </c>
      <c r="E29" s="320">
        <v>5.5</v>
      </c>
      <c r="F29" s="203">
        <f t="shared" si="6"/>
        <v>770</v>
      </c>
      <c r="H29" s="262" t="s">
        <v>766</v>
      </c>
      <c r="I29" s="108">
        <v>30</v>
      </c>
      <c r="J29" s="254" t="s">
        <v>12</v>
      </c>
      <c r="K29" s="295">
        <v>24.47</v>
      </c>
      <c r="L29" s="203">
        <f t="shared" si="7"/>
        <v>734.09999999999991</v>
      </c>
      <c r="N29" s="262" t="s">
        <v>692</v>
      </c>
      <c r="O29" s="108">
        <v>30</v>
      </c>
      <c r="P29" s="254" t="s">
        <v>12</v>
      </c>
      <c r="Q29" s="320">
        <v>4.4000000000000004</v>
      </c>
      <c r="R29" s="203">
        <f t="shared" si="8"/>
        <v>132</v>
      </c>
    </row>
    <row r="30" spans="2:18" ht="15" x14ac:dyDescent="0.25">
      <c r="B30" s="262" t="s">
        <v>701</v>
      </c>
      <c r="C30" s="108">
        <v>40</v>
      </c>
      <c r="D30" s="254" t="s">
        <v>59</v>
      </c>
      <c r="E30" s="253">
        <v>10.8</v>
      </c>
      <c r="F30" s="203">
        <f t="shared" si="6"/>
        <v>432</v>
      </c>
      <c r="H30" s="262" t="s">
        <v>685</v>
      </c>
      <c r="I30" s="108">
        <v>30</v>
      </c>
      <c r="J30" s="254" t="s">
        <v>59</v>
      </c>
      <c r="K30" s="253">
        <v>5.2</v>
      </c>
      <c r="L30" s="203">
        <f t="shared" si="7"/>
        <v>156</v>
      </c>
      <c r="N30" s="262" t="s">
        <v>686</v>
      </c>
      <c r="O30" s="108">
        <v>10</v>
      </c>
      <c r="P30" s="254" t="s">
        <v>12</v>
      </c>
      <c r="Q30" s="253">
        <v>20</v>
      </c>
      <c r="R30" s="203">
        <f t="shared" si="8"/>
        <v>200</v>
      </c>
    </row>
    <row r="31" spans="2:18" ht="15" x14ac:dyDescent="0.25">
      <c r="B31" s="262"/>
      <c r="C31" s="108"/>
      <c r="D31" s="254"/>
      <c r="E31" s="253"/>
      <c r="F31" s="203">
        <f t="shared" si="6"/>
        <v>0</v>
      </c>
      <c r="H31" s="262" t="s">
        <v>686</v>
      </c>
      <c r="I31" s="108">
        <v>10</v>
      </c>
      <c r="J31" s="254" t="s">
        <v>59</v>
      </c>
      <c r="K31" s="320">
        <v>20</v>
      </c>
      <c r="L31" s="203">
        <f t="shared" si="7"/>
        <v>200</v>
      </c>
      <c r="N31" s="262" t="s">
        <v>687</v>
      </c>
      <c r="O31" s="108">
        <v>30</v>
      </c>
      <c r="P31" s="254" t="s">
        <v>59</v>
      </c>
      <c r="Q31" s="295">
        <v>7.98</v>
      </c>
      <c r="R31" s="203">
        <f t="shared" si="8"/>
        <v>239.4</v>
      </c>
    </row>
    <row r="32" spans="2:18" ht="15.75" x14ac:dyDescent="0.25">
      <c r="B32" s="262"/>
      <c r="C32" s="108"/>
      <c r="D32" s="255"/>
      <c r="E32" s="253"/>
      <c r="F32" s="203">
        <f t="shared" si="6"/>
        <v>0</v>
      </c>
      <c r="H32" s="262" t="s">
        <v>687</v>
      </c>
      <c r="I32" s="108">
        <v>30</v>
      </c>
      <c r="J32" s="255" t="s">
        <v>12</v>
      </c>
      <c r="K32" s="320">
        <v>7.98</v>
      </c>
      <c r="L32" s="203">
        <f t="shared" si="7"/>
        <v>239.4</v>
      </c>
      <c r="N32" s="262" t="s">
        <v>693</v>
      </c>
      <c r="O32" s="108">
        <v>1</v>
      </c>
      <c r="P32" s="254" t="s">
        <v>59</v>
      </c>
      <c r="Q32" s="253">
        <v>1050</v>
      </c>
      <c r="R32" s="203">
        <f t="shared" si="8"/>
        <v>1050</v>
      </c>
    </row>
    <row r="33" spans="2:18" ht="15.75" x14ac:dyDescent="0.25">
      <c r="B33" s="265"/>
      <c r="C33" s="108"/>
      <c r="D33" s="255"/>
      <c r="E33" s="253"/>
      <c r="F33" s="203">
        <f t="shared" si="6"/>
        <v>0</v>
      </c>
      <c r="H33" s="265" t="s">
        <v>688</v>
      </c>
      <c r="I33" s="108">
        <v>140</v>
      </c>
      <c r="J33" s="255" t="s">
        <v>12</v>
      </c>
      <c r="K33" s="320">
        <v>5.5</v>
      </c>
      <c r="L33" s="203">
        <f t="shared" si="7"/>
        <v>770</v>
      </c>
      <c r="N33" s="262" t="s">
        <v>694</v>
      </c>
      <c r="O33" s="108">
        <v>25</v>
      </c>
      <c r="P33" s="255" t="s">
        <v>12</v>
      </c>
      <c r="Q33" s="320">
        <v>25.9</v>
      </c>
      <c r="R33" s="203">
        <f t="shared" si="8"/>
        <v>647.5</v>
      </c>
    </row>
    <row r="34" spans="2:18" ht="15.75" x14ac:dyDescent="0.25">
      <c r="B34" s="265"/>
      <c r="C34" s="108"/>
      <c r="D34" s="255"/>
      <c r="E34" s="253"/>
      <c r="F34" s="203"/>
      <c r="H34" s="262" t="s">
        <v>705</v>
      </c>
      <c r="I34" s="108">
        <v>40</v>
      </c>
      <c r="J34" s="254" t="s">
        <v>59</v>
      </c>
      <c r="K34" s="320">
        <v>10.8</v>
      </c>
      <c r="L34" s="203">
        <f>I34*K34</f>
        <v>432</v>
      </c>
      <c r="N34" s="265" t="s">
        <v>768</v>
      </c>
      <c r="O34" s="108">
        <v>40</v>
      </c>
      <c r="P34" s="255" t="s">
        <v>12</v>
      </c>
      <c r="Q34" s="253"/>
      <c r="R34" s="203">
        <f t="shared" si="8"/>
        <v>0</v>
      </c>
    </row>
    <row r="35" spans="2:18" ht="15.75" x14ac:dyDescent="0.25">
      <c r="B35" s="266"/>
      <c r="C35" s="108"/>
      <c r="D35" s="255"/>
      <c r="E35" s="253"/>
      <c r="F35" s="203">
        <f>SUM(F26:F34)</f>
        <v>13802</v>
      </c>
      <c r="H35" s="266"/>
      <c r="I35" s="108"/>
      <c r="J35" s="255"/>
      <c r="K35" s="253"/>
      <c r="L35" s="203">
        <f>SUM(L26:L34)</f>
        <v>7201.5</v>
      </c>
      <c r="N35" s="266" t="s">
        <v>695</v>
      </c>
      <c r="O35" s="108">
        <v>140</v>
      </c>
      <c r="P35" s="255" t="s">
        <v>12</v>
      </c>
      <c r="Q35" s="320">
        <v>5.5</v>
      </c>
      <c r="R35" s="203">
        <f t="shared" si="8"/>
        <v>770</v>
      </c>
    </row>
    <row r="36" spans="2:18" ht="15.75" x14ac:dyDescent="0.25">
      <c r="B36" s="216" t="s">
        <v>512</v>
      </c>
      <c r="C36" s="217"/>
      <c r="D36" s="217"/>
      <c r="E36" s="217"/>
      <c r="F36" s="218"/>
      <c r="H36" s="216" t="s">
        <v>512</v>
      </c>
      <c r="I36" s="217"/>
      <c r="J36" s="217"/>
      <c r="K36" s="217"/>
      <c r="L36" s="218"/>
      <c r="N36" s="266" t="s">
        <v>696</v>
      </c>
      <c r="O36" s="108">
        <v>40</v>
      </c>
      <c r="P36" s="254" t="s">
        <v>59</v>
      </c>
      <c r="Q36" s="320">
        <v>10.8</v>
      </c>
      <c r="R36" s="203">
        <f t="shared" si="8"/>
        <v>432</v>
      </c>
    </row>
    <row r="37" spans="2:18" ht="15" x14ac:dyDescent="0.25">
      <c r="B37" s="290" t="s">
        <v>578</v>
      </c>
      <c r="C37" s="291">
        <v>1</v>
      </c>
      <c r="D37" s="292" t="s">
        <v>428</v>
      </c>
      <c r="E37" s="292">
        <v>1600</v>
      </c>
      <c r="F37" s="203">
        <f t="shared" ref="F37:F38" si="9">C37*E37</f>
        <v>1600</v>
      </c>
      <c r="H37" s="290" t="s">
        <v>578</v>
      </c>
      <c r="I37" s="291">
        <v>1</v>
      </c>
      <c r="J37" s="292" t="s">
        <v>428</v>
      </c>
      <c r="K37" s="292">
        <v>1600</v>
      </c>
      <c r="L37" s="203">
        <f t="shared" ref="L37:L38" si="10">I37*K37</f>
        <v>1600</v>
      </c>
      <c r="N37" s="216" t="s">
        <v>512</v>
      </c>
      <c r="O37" s="217"/>
      <c r="P37" s="217"/>
      <c r="Q37" s="217"/>
      <c r="R37" s="218"/>
    </row>
    <row r="38" spans="2:18" ht="15" x14ac:dyDescent="0.25">
      <c r="B38" s="290" t="s">
        <v>579</v>
      </c>
      <c r="C38" s="291">
        <v>2</v>
      </c>
      <c r="D38" s="292" t="s">
        <v>428</v>
      </c>
      <c r="E38" s="292">
        <v>70</v>
      </c>
      <c r="F38" s="203">
        <f t="shared" si="9"/>
        <v>140</v>
      </c>
      <c r="H38" s="290" t="s">
        <v>579</v>
      </c>
      <c r="I38" s="291">
        <v>2</v>
      </c>
      <c r="J38" s="292" t="s">
        <v>428</v>
      </c>
      <c r="K38" s="292">
        <v>70</v>
      </c>
      <c r="L38" s="203">
        <f t="shared" si="10"/>
        <v>140</v>
      </c>
      <c r="N38" s="219"/>
      <c r="O38" s="220"/>
      <c r="P38" s="221"/>
      <c r="Q38" s="221"/>
      <c r="R38" s="222">
        <f>O38*140</f>
        <v>0</v>
      </c>
    </row>
    <row r="39" spans="2:18" ht="15.75" x14ac:dyDescent="0.25">
      <c r="B39" s="304" t="s">
        <v>580</v>
      </c>
      <c r="C39" s="220"/>
      <c r="D39" s="293"/>
      <c r="E39" s="293"/>
      <c r="F39" s="203">
        <f>SUM(F37:F38)</f>
        <v>1740</v>
      </c>
      <c r="H39" s="304" t="s">
        <v>580</v>
      </c>
      <c r="I39" s="220"/>
      <c r="J39" s="293"/>
      <c r="K39" s="293"/>
      <c r="L39" s="203">
        <f>SUM(L37:L38)</f>
        <v>1740</v>
      </c>
      <c r="N39" s="219"/>
      <c r="O39" s="220"/>
      <c r="P39" s="221"/>
      <c r="Q39" s="221"/>
      <c r="R39" s="222">
        <f t="shared" ref="R39:R40" si="11">O39*140</f>
        <v>0</v>
      </c>
    </row>
    <row r="40" spans="2:18" ht="15" x14ac:dyDescent="0.25">
      <c r="B40" s="357" t="s">
        <v>510</v>
      </c>
      <c r="C40" s="358"/>
      <c r="D40" s="358"/>
      <c r="E40" s="358"/>
      <c r="F40" s="359"/>
      <c r="H40" s="357" t="s">
        <v>510</v>
      </c>
      <c r="I40" s="358"/>
      <c r="J40" s="358"/>
      <c r="K40" s="358"/>
      <c r="L40" s="359"/>
      <c r="N40" s="219"/>
      <c r="O40" s="220"/>
      <c r="P40" s="221"/>
      <c r="Q40" s="221"/>
      <c r="R40" s="222">
        <f t="shared" si="11"/>
        <v>0</v>
      </c>
    </row>
    <row r="41" spans="2:18" ht="15" x14ac:dyDescent="0.25">
      <c r="B41" s="219" t="s">
        <v>511</v>
      </c>
      <c r="C41" s="223"/>
      <c r="D41" s="223"/>
      <c r="E41" s="224"/>
      <c r="F41" s="225">
        <f>F35+F39</f>
        <v>15542</v>
      </c>
      <c r="H41" s="219" t="s">
        <v>511</v>
      </c>
      <c r="I41" s="223"/>
      <c r="J41" s="223"/>
      <c r="K41" s="224"/>
      <c r="L41" s="225">
        <f>L35+L39</f>
        <v>8941.5</v>
      </c>
      <c r="N41" s="357" t="s">
        <v>510</v>
      </c>
      <c r="O41" s="358"/>
      <c r="P41" s="358"/>
      <c r="Q41" s="358"/>
      <c r="R41" s="359"/>
    </row>
    <row r="42" spans="2:18" ht="15" x14ac:dyDescent="0.25">
      <c r="B42" s="226" t="s">
        <v>17</v>
      </c>
      <c r="C42" s="223"/>
      <c r="D42" s="223"/>
      <c r="E42" s="224"/>
      <c r="F42" s="227">
        <f>F41*0.1</f>
        <v>1554.2</v>
      </c>
      <c r="H42" s="226" t="s">
        <v>17</v>
      </c>
      <c r="I42" s="223"/>
      <c r="J42" s="223"/>
      <c r="K42" s="224"/>
      <c r="L42" s="227">
        <f>L41*0.1</f>
        <v>894.15000000000009</v>
      </c>
      <c r="N42" s="219" t="s">
        <v>511</v>
      </c>
      <c r="O42" s="223"/>
      <c r="P42" s="223"/>
      <c r="Q42" s="224"/>
      <c r="R42" s="225">
        <f>(R27+R28+R29+R30+R31+R32+R33+R34+R35+R36+R40)</f>
        <v>8884.0999999999985</v>
      </c>
    </row>
    <row r="43" spans="2:18" ht="15" x14ac:dyDescent="0.25">
      <c r="B43" s="226" t="s">
        <v>18</v>
      </c>
      <c r="C43" s="223"/>
      <c r="D43" s="223"/>
      <c r="E43" s="224"/>
      <c r="F43" s="227">
        <f>SUM(F41:F42)</f>
        <v>17096.2</v>
      </c>
      <c r="H43" s="226" t="s">
        <v>18</v>
      </c>
      <c r="I43" s="223"/>
      <c r="J43" s="223"/>
      <c r="K43" s="224"/>
      <c r="L43" s="227">
        <f>SUM(L41:L42)</f>
        <v>9835.65</v>
      </c>
      <c r="N43" s="226" t="s">
        <v>17</v>
      </c>
      <c r="O43" s="223"/>
      <c r="P43" s="223"/>
      <c r="Q43" s="224"/>
      <c r="R43" s="227">
        <f>R42*0.1</f>
        <v>888.40999999999985</v>
      </c>
    </row>
    <row r="44" spans="2:18" ht="15" x14ac:dyDescent="0.25">
      <c r="B44" s="219" t="s">
        <v>435</v>
      </c>
      <c r="C44" s="223"/>
      <c r="D44" s="223"/>
      <c r="E44" s="224"/>
      <c r="F44" s="225">
        <v>55000</v>
      </c>
      <c r="H44" s="219" t="s">
        <v>435</v>
      </c>
      <c r="I44" s="223"/>
      <c r="J44" s="223"/>
      <c r="K44" s="224"/>
      <c r="L44" s="225">
        <v>30000</v>
      </c>
      <c r="N44" s="226" t="s">
        <v>18</v>
      </c>
      <c r="O44" s="223"/>
      <c r="P44" s="223"/>
      <c r="Q44" s="224"/>
      <c r="R44" s="227">
        <f>SUM(R42:R43)</f>
        <v>9772.5099999999984</v>
      </c>
    </row>
    <row r="45" spans="2:18" ht="15.75" thickBot="1" x14ac:dyDescent="0.3">
      <c r="B45" s="228"/>
      <c r="C45" s="229"/>
      <c r="D45" s="229"/>
      <c r="E45" s="229"/>
      <c r="F45" s="230"/>
      <c r="H45" s="228"/>
      <c r="I45" s="229"/>
      <c r="J45" s="229"/>
      <c r="K45" s="229"/>
      <c r="L45" s="230"/>
      <c r="N45" s="219" t="s">
        <v>435</v>
      </c>
      <c r="O45" s="223"/>
      <c r="P45" s="223"/>
      <c r="Q45" s="224"/>
      <c r="R45" s="225">
        <v>38000</v>
      </c>
    </row>
    <row r="46" spans="2:18" ht="15.75" thickBot="1" x14ac:dyDescent="0.3">
      <c r="N46" s="228"/>
      <c r="O46" s="229"/>
      <c r="P46" s="229"/>
      <c r="Q46" s="229"/>
      <c r="R46" s="230"/>
    </row>
    <row r="47" spans="2:18" ht="15.75" thickBot="1" x14ac:dyDescent="0.3">
      <c r="B47" s="354" t="s">
        <v>527</v>
      </c>
      <c r="C47" s="355"/>
      <c r="D47" s="355"/>
      <c r="E47" s="355"/>
      <c r="F47" s="356"/>
      <c r="H47" s="354" t="s">
        <v>527</v>
      </c>
      <c r="I47" s="355"/>
      <c r="J47" s="355"/>
      <c r="K47" s="355"/>
      <c r="L47" s="356"/>
    </row>
    <row r="48" spans="2:18" ht="15.75" thickBot="1" x14ac:dyDescent="0.3">
      <c r="B48" s="197" t="s">
        <v>3</v>
      </c>
      <c r="C48" s="197" t="s">
        <v>507</v>
      </c>
      <c r="D48" s="197" t="s">
        <v>508</v>
      </c>
      <c r="E48" s="197" t="s">
        <v>513</v>
      </c>
      <c r="F48" s="256" t="s">
        <v>509</v>
      </c>
      <c r="H48" s="197" t="s">
        <v>3</v>
      </c>
      <c r="I48" s="197" t="s">
        <v>507</v>
      </c>
      <c r="J48" s="197" t="s">
        <v>508</v>
      </c>
      <c r="K48" s="197" t="s">
        <v>513</v>
      </c>
      <c r="L48" s="256" t="s">
        <v>509</v>
      </c>
      <c r="N48" s="354" t="s">
        <v>527</v>
      </c>
      <c r="O48" s="355"/>
      <c r="P48" s="355"/>
      <c r="Q48" s="355"/>
      <c r="R48" s="356"/>
    </row>
    <row r="49" spans="2:18" ht="16.5" thickBot="1" x14ac:dyDescent="0.3">
      <c r="B49" s="257"/>
      <c r="C49" s="258"/>
      <c r="D49" s="259" t="s">
        <v>12</v>
      </c>
      <c r="E49" s="260"/>
      <c r="F49" s="261">
        <f>C49*E49</f>
        <v>0</v>
      </c>
      <c r="H49" s="257"/>
      <c r="I49" s="258"/>
      <c r="J49" s="259" t="s">
        <v>12</v>
      </c>
      <c r="K49" s="260"/>
      <c r="L49" s="261">
        <f>I49*K49</f>
        <v>0</v>
      </c>
      <c r="N49" s="197" t="s">
        <v>3</v>
      </c>
      <c r="O49" s="197" t="s">
        <v>507</v>
      </c>
      <c r="P49" s="197" t="s">
        <v>508</v>
      </c>
      <c r="Q49" s="197" t="s">
        <v>513</v>
      </c>
      <c r="R49" s="256" t="s">
        <v>509</v>
      </c>
    </row>
    <row r="50" spans="2:18" ht="15.75" x14ac:dyDescent="0.25">
      <c r="B50" s="262"/>
      <c r="C50" s="108"/>
      <c r="D50" s="254" t="s">
        <v>12</v>
      </c>
      <c r="E50" s="253"/>
      <c r="F50" s="203">
        <f t="shared" ref="F50:F56" si="12">C50*E50</f>
        <v>0</v>
      </c>
      <c r="H50" s="262"/>
      <c r="I50" s="108"/>
      <c r="J50" s="254" t="s">
        <v>12</v>
      </c>
      <c r="K50" s="253"/>
      <c r="L50" s="203">
        <f t="shared" ref="L50:L56" si="13">I50*K50</f>
        <v>0</v>
      </c>
      <c r="N50" s="257"/>
      <c r="O50" s="258"/>
      <c r="P50" s="259" t="s">
        <v>12</v>
      </c>
      <c r="Q50" s="260"/>
      <c r="R50" s="261">
        <f>O50*Q50</f>
        <v>0</v>
      </c>
    </row>
    <row r="51" spans="2:18" ht="15" x14ac:dyDescent="0.25">
      <c r="B51" s="262"/>
      <c r="C51" s="108"/>
      <c r="D51" s="254" t="s">
        <v>12</v>
      </c>
      <c r="E51" s="253"/>
      <c r="F51" s="203">
        <f t="shared" si="12"/>
        <v>0</v>
      </c>
      <c r="H51" s="262"/>
      <c r="I51" s="108"/>
      <c r="J51" s="254" t="s">
        <v>12</v>
      </c>
      <c r="K51" s="253"/>
      <c r="L51" s="203">
        <f t="shared" si="13"/>
        <v>0</v>
      </c>
      <c r="N51" s="262"/>
      <c r="O51" s="108"/>
      <c r="P51" s="254" t="s">
        <v>12</v>
      </c>
      <c r="Q51" s="253"/>
      <c r="R51" s="203">
        <f t="shared" ref="R51:R57" si="14">O51*Q51</f>
        <v>0</v>
      </c>
    </row>
    <row r="52" spans="2:18" ht="15" x14ac:dyDescent="0.25">
      <c r="B52" s="262"/>
      <c r="C52" s="108"/>
      <c r="D52" s="254" t="s">
        <v>12</v>
      </c>
      <c r="E52" s="253"/>
      <c r="F52" s="203">
        <f t="shared" si="12"/>
        <v>0</v>
      </c>
      <c r="H52" s="262"/>
      <c r="I52" s="108"/>
      <c r="J52" s="254" t="s">
        <v>12</v>
      </c>
      <c r="K52" s="253"/>
      <c r="L52" s="203">
        <f t="shared" si="13"/>
        <v>0</v>
      </c>
      <c r="N52" s="262"/>
      <c r="O52" s="108"/>
      <c r="P52" s="254" t="s">
        <v>12</v>
      </c>
      <c r="Q52" s="253"/>
      <c r="R52" s="203">
        <f t="shared" si="14"/>
        <v>0</v>
      </c>
    </row>
    <row r="53" spans="2:18" ht="15" x14ac:dyDescent="0.25">
      <c r="B53" s="262"/>
      <c r="C53" s="108"/>
      <c r="D53" s="254" t="s">
        <v>59</v>
      </c>
      <c r="E53" s="253"/>
      <c r="F53" s="203">
        <f t="shared" si="12"/>
        <v>0</v>
      </c>
      <c r="H53" s="262"/>
      <c r="I53" s="108"/>
      <c r="J53" s="254" t="s">
        <v>59</v>
      </c>
      <c r="K53" s="253"/>
      <c r="L53" s="203">
        <f t="shared" si="13"/>
        <v>0</v>
      </c>
      <c r="N53" s="262"/>
      <c r="O53" s="108"/>
      <c r="P53" s="254" t="s">
        <v>12</v>
      </c>
      <c r="Q53" s="253"/>
      <c r="R53" s="203">
        <f t="shared" si="14"/>
        <v>0</v>
      </c>
    </row>
    <row r="54" spans="2:18" ht="15" x14ac:dyDescent="0.25">
      <c r="B54" s="262"/>
      <c r="C54" s="108"/>
      <c r="D54" s="254" t="s">
        <v>59</v>
      </c>
      <c r="E54" s="253"/>
      <c r="F54" s="203">
        <f t="shared" si="12"/>
        <v>0</v>
      </c>
      <c r="H54" s="262"/>
      <c r="I54" s="108"/>
      <c r="J54" s="254" t="s">
        <v>59</v>
      </c>
      <c r="K54" s="253"/>
      <c r="L54" s="203">
        <f t="shared" si="13"/>
        <v>0</v>
      </c>
      <c r="N54" s="262"/>
      <c r="O54" s="108"/>
      <c r="P54" s="254" t="s">
        <v>59</v>
      </c>
      <c r="Q54" s="253"/>
      <c r="R54" s="203">
        <f t="shared" si="14"/>
        <v>0</v>
      </c>
    </row>
    <row r="55" spans="2:18" ht="15.75" x14ac:dyDescent="0.25">
      <c r="B55" s="262"/>
      <c r="C55" s="108"/>
      <c r="D55" s="255" t="s">
        <v>12</v>
      </c>
      <c r="E55" s="253"/>
      <c r="F55" s="203">
        <f t="shared" si="12"/>
        <v>0</v>
      </c>
      <c r="H55" s="262"/>
      <c r="I55" s="108"/>
      <c r="J55" s="255" t="s">
        <v>12</v>
      </c>
      <c r="K55" s="253"/>
      <c r="L55" s="203">
        <f t="shared" si="13"/>
        <v>0</v>
      </c>
      <c r="N55" s="262"/>
      <c r="O55" s="108"/>
      <c r="P55" s="254" t="s">
        <v>59</v>
      </c>
      <c r="Q55" s="253"/>
      <c r="R55" s="203">
        <f t="shared" si="14"/>
        <v>0</v>
      </c>
    </row>
    <row r="56" spans="2:18" ht="15.75" x14ac:dyDescent="0.25">
      <c r="B56" s="265"/>
      <c r="C56" s="108"/>
      <c r="D56" s="255"/>
      <c r="E56" s="253"/>
      <c r="F56" s="203">
        <f t="shared" si="12"/>
        <v>0</v>
      </c>
      <c r="H56" s="265"/>
      <c r="I56" s="108"/>
      <c r="J56" s="255"/>
      <c r="K56" s="253"/>
      <c r="L56" s="203">
        <f t="shared" si="13"/>
        <v>0</v>
      </c>
      <c r="N56" s="262"/>
      <c r="O56" s="108"/>
      <c r="P56" s="255" t="s">
        <v>12</v>
      </c>
      <c r="Q56" s="253"/>
      <c r="R56" s="203">
        <f t="shared" si="14"/>
        <v>0</v>
      </c>
    </row>
    <row r="57" spans="2:18" ht="15.75" x14ac:dyDescent="0.25">
      <c r="B57" s="265"/>
      <c r="C57" s="108"/>
      <c r="D57" s="255"/>
      <c r="E57" s="253"/>
      <c r="F57" s="203"/>
      <c r="H57" s="265"/>
      <c r="I57" s="108"/>
      <c r="J57" s="255"/>
      <c r="K57" s="253"/>
      <c r="L57" s="203"/>
      <c r="N57" s="265"/>
      <c r="O57" s="108"/>
      <c r="P57" s="255"/>
      <c r="Q57" s="253"/>
      <c r="R57" s="203">
        <f t="shared" si="14"/>
        <v>0</v>
      </c>
    </row>
    <row r="58" spans="2:18" ht="15.75" x14ac:dyDescent="0.25">
      <c r="B58" s="266"/>
      <c r="C58" s="108"/>
      <c r="D58" s="255"/>
      <c r="E58" s="253"/>
      <c r="F58" s="203">
        <f t="shared" ref="F58" si="15">C58*E58</f>
        <v>0</v>
      </c>
      <c r="H58" s="266"/>
      <c r="I58" s="108"/>
      <c r="J58" s="255"/>
      <c r="K58" s="253"/>
      <c r="L58" s="203">
        <f t="shared" ref="L58" si="16">I58*K58</f>
        <v>0</v>
      </c>
      <c r="N58" s="265"/>
      <c r="O58" s="108"/>
      <c r="P58" s="255"/>
      <c r="Q58" s="253"/>
      <c r="R58" s="203"/>
    </row>
    <row r="59" spans="2:18" ht="15.75" x14ac:dyDescent="0.25">
      <c r="B59" s="216" t="s">
        <v>512</v>
      </c>
      <c r="C59" s="217"/>
      <c r="D59" s="217"/>
      <c r="E59" s="217"/>
      <c r="F59" s="218"/>
      <c r="H59" s="216" t="s">
        <v>512</v>
      </c>
      <c r="I59" s="217"/>
      <c r="J59" s="217"/>
      <c r="K59" s="217"/>
      <c r="L59" s="218"/>
      <c r="N59" s="266"/>
      <c r="O59" s="108"/>
      <c r="P59" s="255"/>
      <c r="Q59" s="253"/>
      <c r="R59" s="203">
        <f t="shared" ref="R59" si="17">O59*Q59</f>
        <v>0</v>
      </c>
    </row>
    <row r="60" spans="2:18" ht="15" x14ac:dyDescent="0.25">
      <c r="B60" s="219"/>
      <c r="C60" s="220"/>
      <c r="D60" s="221"/>
      <c r="E60" s="221"/>
      <c r="F60" s="222">
        <f>C60*140</f>
        <v>0</v>
      </c>
      <c r="H60" s="219"/>
      <c r="I60" s="220"/>
      <c r="J60" s="221"/>
      <c r="K60" s="221"/>
      <c r="L60" s="222">
        <f>I60*140</f>
        <v>0</v>
      </c>
      <c r="N60" s="216" t="s">
        <v>512</v>
      </c>
      <c r="O60" s="217"/>
      <c r="P60" s="217"/>
      <c r="Q60" s="217"/>
      <c r="R60" s="218"/>
    </row>
    <row r="61" spans="2:18" ht="15" x14ac:dyDescent="0.25">
      <c r="B61" s="219"/>
      <c r="C61" s="220"/>
      <c r="D61" s="221"/>
      <c r="E61" s="221"/>
      <c r="F61" s="222">
        <f t="shared" ref="F61:F62" si="18">C61*140</f>
        <v>0</v>
      </c>
      <c r="H61" s="219"/>
      <c r="I61" s="220"/>
      <c r="J61" s="221"/>
      <c r="K61" s="221"/>
      <c r="L61" s="222">
        <f t="shared" ref="L61:L62" si="19">I61*140</f>
        <v>0</v>
      </c>
      <c r="N61" s="219"/>
      <c r="O61" s="220"/>
      <c r="P61" s="221"/>
      <c r="Q61" s="221"/>
      <c r="R61" s="222">
        <f>O61*140</f>
        <v>0</v>
      </c>
    </row>
    <row r="62" spans="2:18" ht="15" x14ac:dyDescent="0.25">
      <c r="B62" s="219"/>
      <c r="C62" s="220"/>
      <c r="D62" s="221"/>
      <c r="E62" s="221"/>
      <c r="F62" s="222">
        <f t="shared" si="18"/>
        <v>0</v>
      </c>
      <c r="H62" s="219"/>
      <c r="I62" s="220"/>
      <c r="J62" s="221"/>
      <c r="K62" s="221"/>
      <c r="L62" s="222">
        <f t="shared" si="19"/>
        <v>0</v>
      </c>
      <c r="N62" s="219"/>
      <c r="O62" s="220"/>
      <c r="P62" s="221"/>
      <c r="Q62" s="221"/>
      <c r="R62" s="222">
        <f t="shared" ref="R62:R63" si="20">O62*140</f>
        <v>0</v>
      </c>
    </row>
    <row r="63" spans="2:18" ht="15" x14ac:dyDescent="0.25">
      <c r="B63" s="357" t="s">
        <v>510</v>
      </c>
      <c r="C63" s="358"/>
      <c r="D63" s="358"/>
      <c r="E63" s="358"/>
      <c r="F63" s="359"/>
      <c r="H63" s="357" t="s">
        <v>510</v>
      </c>
      <c r="I63" s="358"/>
      <c r="J63" s="358"/>
      <c r="K63" s="358"/>
      <c r="L63" s="359"/>
      <c r="N63" s="219"/>
      <c r="O63" s="220"/>
      <c r="P63" s="221"/>
      <c r="Q63" s="221"/>
      <c r="R63" s="222">
        <f t="shared" si="20"/>
        <v>0</v>
      </c>
    </row>
    <row r="64" spans="2:18" ht="15" x14ac:dyDescent="0.25">
      <c r="B64" s="219" t="s">
        <v>511</v>
      </c>
      <c r="C64" s="223"/>
      <c r="D64" s="223"/>
      <c r="E64" s="224"/>
      <c r="F64" s="225">
        <f>(F49+F50+F51+F52+F53+F54+F55+F56+F58+F60+F61+F62)</f>
        <v>0</v>
      </c>
      <c r="H64" s="219" t="s">
        <v>511</v>
      </c>
      <c r="I64" s="223"/>
      <c r="J64" s="223"/>
      <c r="K64" s="224"/>
      <c r="L64" s="225">
        <f>(L49+L50+L51+L52+L53+L54+L55+L56+L58+L60+L61+L62)</f>
        <v>0</v>
      </c>
      <c r="N64" s="357" t="s">
        <v>510</v>
      </c>
      <c r="O64" s="358"/>
      <c r="P64" s="358"/>
      <c r="Q64" s="358"/>
      <c r="R64" s="359"/>
    </row>
    <row r="65" spans="2:18" ht="15" x14ac:dyDescent="0.25">
      <c r="B65" s="226" t="s">
        <v>17</v>
      </c>
      <c r="C65" s="223"/>
      <c r="D65" s="223"/>
      <c r="E65" s="224"/>
      <c r="F65" s="227">
        <f>F64*0.1</f>
        <v>0</v>
      </c>
      <c r="H65" s="226" t="s">
        <v>17</v>
      </c>
      <c r="I65" s="223"/>
      <c r="J65" s="223"/>
      <c r="K65" s="224"/>
      <c r="L65" s="227">
        <f>L64*0.1</f>
        <v>0</v>
      </c>
      <c r="N65" s="219" t="s">
        <v>511</v>
      </c>
      <c r="O65" s="223"/>
      <c r="P65" s="223"/>
      <c r="Q65" s="224"/>
      <c r="R65" s="225">
        <f>(R50+R51+R52+R53+R54+R55+R56+R57+R59+R61+R62+R63)</f>
        <v>0</v>
      </c>
    </row>
    <row r="66" spans="2:18" ht="15" x14ac:dyDescent="0.25">
      <c r="B66" s="226" t="s">
        <v>18</v>
      </c>
      <c r="C66" s="223"/>
      <c r="D66" s="223"/>
      <c r="E66" s="224"/>
      <c r="F66" s="227">
        <f>SUM(F64:F65)</f>
        <v>0</v>
      </c>
      <c r="H66" s="226" t="s">
        <v>18</v>
      </c>
      <c r="I66" s="223"/>
      <c r="J66" s="223"/>
      <c r="K66" s="224"/>
      <c r="L66" s="227">
        <f>SUM(L64:L65)</f>
        <v>0</v>
      </c>
      <c r="N66" s="226" t="s">
        <v>17</v>
      </c>
      <c r="O66" s="223"/>
      <c r="P66" s="223"/>
      <c r="Q66" s="224"/>
      <c r="R66" s="227">
        <f>R65*0.1</f>
        <v>0</v>
      </c>
    </row>
    <row r="67" spans="2:18" ht="15" x14ac:dyDescent="0.25">
      <c r="B67" s="219" t="s">
        <v>435</v>
      </c>
      <c r="C67" s="223"/>
      <c r="D67" s="223"/>
      <c r="E67" s="224"/>
      <c r="F67" s="225">
        <v>30000</v>
      </c>
      <c r="H67" s="219" t="s">
        <v>435</v>
      </c>
      <c r="I67" s="223"/>
      <c r="J67" s="223"/>
      <c r="K67" s="224"/>
      <c r="L67" s="225">
        <v>30000</v>
      </c>
      <c r="N67" s="226" t="s">
        <v>18</v>
      </c>
      <c r="O67" s="223"/>
      <c r="P67" s="223"/>
      <c r="Q67" s="224"/>
      <c r="R67" s="227">
        <f>SUM(R65:R66)</f>
        <v>0</v>
      </c>
    </row>
    <row r="68" spans="2:18" ht="15.75" thickBot="1" x14ac:dyDescent="0.3">
      <c r="B68" s="228"/>
      <c r="C68" s="229"/>
      <c r="D68" s="229"/>
      <c r="E68" s="229"/>
      <c r="F68" s="230"/>
      <c r="H68" s="228"/>
      <c r="I68" s="229"/>
      <c r="J68" s="229"/>
      <c r="K68" s="229"/>
      <c r="L68" s="230"/>
      <c r="N68" s="219" t="s">
        <v>435</v>
      </c>
      <c r="O68" s="223"/>
      <c r="P68" s="223"/>
      <c r="Q68" s="224"/>
      <c r="R68" s="225">
        <v>30000</v>
      </c>
    </row>
    <row r="69" spans="2:18" ht="15.75" thickBot="1" x14ac:dyDescent="0.3">
      <c r="N69" s="228"/>
      <c r="O69" s="229"/>
      <c r="P69" s="229"/>
      <c r="Q69" s="229"/>
      <c r="R69" s="230"/>
    </row>
  </sheetData>
  <mergeCells count="18">
    <mergeCell ref="B2:F2"/>
    <mergeCell ref="H2:L2"/>
    <mergeCell ref="N2:R2"/>
    <mergeCell ref="B17:F17"/>
    <mergeCell ref="H17:L17"/>
    <mergeCell ref="N18:R18"/>
    <mergeCell ref="B24:F24"/>
    <mergeCell ref="B40:F40"/>
    <mergeCell ref="H24:L24"/>
    <mergeCell ref="H40:L40"/>
    <mergeCell ref="N25:R25"/>
    <mergeCell ref="N64:R64"/>
    <mergeCell ref="N41:R41"/>
    <mergeCell ref="B47:F47"/>
    <mergeCell ref="B63:F63"/>
    <mergeCell ref="H47:L47"/>
    <mergeCell ref="H63:L63"/>
    <mergeCell ref="N48:R4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0465-A44F-4597-8DFC-6788FE2C99E9}">
  <dimension ref="B1:AD22"/>
  <sheetViews>
    <sheetView topLeftCell="E1" workbookViewId="0">
      <selection activeCell="K5" sqref="K5"/>
    </sheetView>
  </sheetViews>
  <sheetFormatPr baseColWidth="10" defaultRowHeight="12.75" x14ac:dyDescent="0.2"/>
  <cols>
    <col min="2" max="2" width="43.42578125" bestFit="1" customWidth="1"/>
    <col min="7" max="7" width="1.7109375" style="192" customWidth="1"/>
    <col min="8" max="8" width="43.42578125" bestFit="1" customWidth="1"/>
    <col min="9" max="9" width="13.28515625" bestFit="1" customWidth="1"/>
    <col min="10" max="10" width="16" bestFit="1" customWidth="1"/>
    <col min="11" max="11" width="9.85546875" bestFit="1" customWidth="1"/>
    <col min="12" max="12" width="11.5703125" bestFit="1" customWidth="1"/>
    <col min="13" max="13" width="1.7109375" customWidth="1"/>
    <col min="14" max="14" width="43.42578125" bestFit="1" customWidth="1"/>
    <col min="15" max="15" width="13.28515625" bestFit="1" customWidth="1"/>
    <col min="16" max="16" width="16" bestFit="1" customWidth="1"/>
    <col min="17" max="17" width="10.28515625" bestFit="1" customWidth="1"/>
    <col min="18" max="18" width="11.5703125" bestFit="1" customWidth="1"/>
    <col min="19" max="19" width="1.7109375" customWidth="1"/>
    <col min="20" max="20" width="43.42578125" bestFit="1" customWidth="1"/>
    <col min="21" max="21" width="11.85546875" bestFit="1" customWidth="1"/>
    <col min="22" max="22" width="14.5703125" bestFit="1" customWidth="1"/>
    <col min="23" max="23" width="10.28515625" bestFit="1" customWidth="1"/>
    <col min="25" max="25" width="1.7109375" customWidth="1"/>
    <col min="26" max="26" width="43.42578125" bestFit="1" customWidth="1"/>
    <col min="27" max="27" width="13.28515625" bestFit="1" customWidth="1"/>
    <col min="28" max="28" width="16" bestFit="1" customWidth="1"/>
  </cols>
  <sheetData>
    <row r="1" spans="2:30" ht="13.5" thickBot="1" x14ac:dyDescent="0.25"/>
    <row r="2" spans="2:30" ht="15" x14ac:dyDescent="0.25">
      <c r="B2" s="354" t="s">
        <v>517</v>
      </c>
      <c r="C2" s="355"/>
      <c r="D2" s="355"/>
      <c r="E2" s="355"/>
      <c r="F2" s="356"/>
      <c r="G2" s="195"/>
      <c r="H2" s="354" t="s">
        <v>271</v>
      </c>
      <c r="I2" s="355"/>
      <c r="J2" s="355"/>
      <c r="K2" s="355"/>
      <c r="L2" s="356"/>
      <c r="M2" s="195"/>
      <c r="N2" s="354" t="s">
        <v>350</v>
      </c>
      <c r="O2" s="355"/>
      <c r="P2" s="355"/>
      <c r="Q2" s="355"/>
      <c r="R2" s="356"/>
      <c r="S2" s="195"/>
      <c r="T2" s="354" t="s">
        <v>514</v>
      </c>
      <c r="U2" s="355"/>
      <c r="V2" s="355"/>
      <c r="W2" s="355"/>
      <c r="X2" s="356"/>
      <c r="Y2" s="195"/>
      <c r="Z2" s="354" t="s">
        <v>516</v>
      </c>
      <c r="AA2" s="355"/>
      <c r="AB2" s="355"/>
      <c r="AC2" s="355"/>
      <c r="AD2" s="356"/>
    </row>
    <row r="3" spans="2:30" ht="15" x14ac:dyDescent="0.25">
      <c r="B3" s="196" t="s">
        <v>3</v>
      </c>
      <c r="C3" s="196" t="s">
        <v>507</v>
      </c>
      <c r="D3" s="196" t="s">
        <v>508</v>
      </c>
      <c r="E3" s="197" t="s">
        <v>513</v>
      </c>
      <c r="F3" s="198" t="s">
        <v>509</v>
      </c>
      <c r="G3" s="195"/>
      <c r="H3" s="196" t="s">
        <v>3</v>
      </c>
      <c r="I3" s="196" t="s">
        <v>507</v>
      </c>
      <c r="J3" s="196" t="s">
        <v>508</v>
      </c>
      <c r="K3" s="196" t="s">
        <v>513</v>
      </c>
      <c r="L3" s="198" t="s">
        <v>509</v>
      </c>
      <c r="M3" s="195"/>
      <c r="N3" s="196" t="s">
        <v>3</v>
      </c>
      <c r="O3" s="196" t="s">
        <v>507</v>
      </c>
      <c r="P3" s="196" t="s">
        <v>508</v>
      </c>
      <c r="Q3" s="196" t="s">
        <v>513</v>
      </c>
      <c r="R3" s="198" t="s">
        <v>509</v>
      </c>
      <c r="S3" s="195"/>
      <c r="T3" s="196" t="s">
        <v>3</v>
      </c>
      <c r="U3" s="196" t="s">
        <v>507</v>
      </c>
      <c r="V3" s="196" t="s">
        <v>508</v>
      </c>
      <c r="W3" s="196" t="s">
        <v>513</v>
      </c>
      <c r="X3" s="198" t="s">
        <v>509</v>
      </c>
      <c r="Y3" s="195"/>
      <c r="Z3" s="196" t="s">
        <v>3</v>
      </c>
      <c r="AA3" s="196" t="s">
        <v>507</v>
      </c>
      <c r="AB3" s="196" t="s">
        <v>508</v>
      </c>
      <c r="AC3" s="196" t="s">
        <v>513</v>
      </c>
      <c r="AD3" s="198" t="s">
        <v>509</v>
      </c>
    </row>
    <row r="4" spans="2:30" ht="15" x14ac:dyDescent="0.25">
      <c r="B4" s="199" t="s">
        <v>339</v>
      </c>
      <c r="C4" s="200">
        <v>600</v>
      </c>
      <c r="D4" s="201" t="s">
        <v>12</v>
      </c>
      <c r="E4" s="202">
        <v>9.1999999999999993</v>
      </c>
      <c r="F4" s="203">
        <f>C4*E4</f>
        <v>5520</v>
      </c>
      <c r="G4" s="195"/>
      <c r="H4" s="204" t="s">
        <v>351</v>
      </c>
      <c r="I4" s="200">
        <v>150</v>
      </c>
      <c r="J4" s="200" t="s">
        <v>12</v>
      </c>
      <c r="K4" s="202">
        <v>10.4</v>
      </c>
      <c r="L4" s="203">
        <f>I4*K4</f>
        <v>1560</v>
      </c>
      <c r="M4" s="195"/>
      <c r="N4" s="205" t="s">
        <v>351</v>
      </c>
      <c r="O4" s="206">
        <v>150</v>
      </c>
      <c r="P4" s="206" t="s">
        <v>12</v>
      </c>
      <c r="Q4" s="207">
        <v>10.4</v>
      </c>
      <c r="R4" s="208">
        <f>O4*Q4</f>
        <v>1560</v>
      </c>
      <c r="S4" s="195"/>
      <c r="T4" s="199" t="s">
        <v>44</v>
      </c>
      <c r="U4" s="200">
        <v>60</v>
      </c>
      <c r="V4" s="200" t="s">
        <v>12</v>
      </c>
      <c r="W4" s="337">
        <v>34.700000000000003</v>
      </c>
      <c r="X4" s="203">
        <f>U4*W4</f>
        <v>2082</v>
      </c>
      <c r="Y4" s="195"/>
      <c r="Z4" s="205" t="s">
        <v>44</v>
      </c>
      <c r="AA4" s="206">
        <v>60</v>
      </c>
      <c r="AB4" s="206" t="s">
        <v>12</v>
      </c>
      <c r="AC4" s="209">
        <v>34.700000000000003</v>
      </c>
      <c r="AD4" s="208">
        <f>AA4*AC4</f>
        <v>2082</v>
      </c>
    </row>
    <row r="5" spans="2:30" ht="15" x14ac:dyDescent="0.25">
      <c r="B5" s="210" t="s">
        <v>340</v>
      </c>
      <c r="C5" s="200">
        <v>5</v>
      </c>
      <c r="D5" s="201" t="s">
        <v>12</v>
      </c>
      <c r="E5" s="211">
        <v>23.8</v>
      </c>
      <c r="F5" s="203">
        <f t="shared" ref="F5:F9" si="0">C5*E5</f>
        <v>119</v>
      </c>
      <c r="G5" s="195"/>
      <c r="H5" s="212" t="s">
        <v>352</v>
      </c>
      <c r="I5" s="200">
        <v>80</v>
      </c>
      <c r="J5" s="200" t="s">
        <v>12</v>
      </c>
      <c r="K5" s="211">
        <v>11</v>
      </c>
      <c r="L5" s="203">
        <f t="shared" ref="L5:L11" si="1">I5*K5</f>
        <v>880</v>
      </c>
      <c r="M5" s="195"/>
      <c r="N5" s="213" t="s">
        <v>352</v>
      </c>
      <c r="O5" s="200">
        <v>80</v>
      </c>
      <c r="P5" s="200" t="s">
        <v>12</v>
      </c>
      <c r="Q5" s="211">
        <v>34.700000000000003</v>
      </c>
      <c r="R5" s="203">
        <f t="shared" ref="R5:R9" si="2">O5*Q5</f>
        <v>2776</v>
      </c>
      <c r="S5" s="195"/>
      <c r="T5" s="210" t="s">
        <v>500</v>
      </c>
      <c r="U5" s="200">
        <v>150</v>
      </c>
      <c r="V5" s="200" t="s">
        <v>12</v>
      </c>
      <c r="W5" s="211">
        <v>23.2</v>
      </c>
      <c r="X5" s="203">
        <f t="shared" ref="X5:X9" si="3">U5*W5</f>
        <v>3480</v>
      </c>
      <c r="Y5" s="195"/>
      <c r="Z5" s="213" t="s">
        <v>503</v>
      </c>
      <c r="AA5" s="200">
        <v>150</v>
      </c>
      <c r="AB5" s="200" t="s">
        <v>12</v>
      </c>
      <c r="AC5" s="211">
        <v>23.2</v>
      </c>
      <c r="AD5" s="203">
        <f t="shared" ref="AD5:AD9" si="4">AA5*AC5</f>
        <v>3480</v>
      </c>
    </row>
    <row r="6" spans="2:30" ht="15" x14ac:dyDescent="0.25">
      <c r="B6" s="210" t="s">
        <v>344</v>
      </c>
      <c r="C6" s="200">
        <v>3</v>
      </c>
      <c r="D6" s="201" t="s">
        <v>12</v>
      </c>
      <c r="E6" s="211">
        <v>2.6</v>
      </c>
      <c r="F6" s="203">
        <f t="shared" si="0"/>
        <v>7.8000000000000007</v>
      </c>
      <c r="G6" s="195"/>
      <c r="H6" s="212" t="s">
        <v>356</v>
      </c>
      <c r="I6" s="200">
        <v>150</v>
      </c>
      <c r="J6" s="200" t="s">
        <v>12</v>
      </c>
      <c r="K6" s="211">
        <v>19.5</v>
      </c>
      <c r="L6" s="203">
        <f t="shared" si="1"/>
        <v>2925</v>
      </c>
      <c r="M6" s="195"/>
      <c r="N6" s="213" t="s">
        <v>353</v>
      </c>
      <c r="O6" s="200">
        <v>20</v>
      </c>
      <c r="P6" s="200" t="s">
        <v>12</v>
      </c>
      <c r="Q6" s="211">
        <v>34</v>
      </c>
      <c r="R6" s="203">
        <f t="shared" si="2"/>
        <v>680</v>
      </c>
      <c r="S6" s="195"/>
      <c r="T6" s="210" t="s">
        <v>501</v>
      </c>
      <c r="U6" s="200">
        <v>40</v>
      </c>
      <c r="V6" s="200" t="s">
        <v>12</v>
      </c>
      <c r="W6" s="211">
        <v>5.16</v>
      </c>
      <c r="X6" s="203">
        <f t="shared" si="3"/>
        <v>206.4</v>
      </c>
      <c r="Y6" s="195"/>
      <c r="Z6" s="213" t="s">
        <v>504</v>
      </c>
      <c r="AA6" s="200">
        <v>47</v>
      </c>
      <c r="AB6" s="200" t="s">
        <v>12</v>
      </c>
      <c r="AC6" s="211">
        <v>52.63</v>
      </c>
      <c r="AD6" s="203">
        <f t="shared" si="4"/>
        <v>2473.61</v>
      </c>
    </row>
    <row r="7" spans="2:30" ht="15" x14ac:dyDescent="0.25">
      <c r="B7" s="210" t="s">
        <v>345</v>
      </c>
      <c r="C7" s="200">
        <v>250</v>
      </c>
      <c r="D7" s="201" t="s">
        <v>108</v>
      </c>
      <c r="E7" s="211">
        <v>26</v>
      </c>
      <c r="F7" s="203">
        <f t="shared" si="0"/>
        <v>6500</v>
      </c>
      <c r="G7" s="195"/>
      <c r="H7" s="212" t="s">
        <v>359</v>
      </c>
      <c r="I7" s="200">
        <v>40</v>
      </c>
      <c r="J7" s="200" t="s">
        <v>12</v>
      </c>
      <c r="K7" s="211">
        <v>36</v>
      </c>
      <c r="L7" s="203">
        <f t="shared" si="1"/>
        <v>1440</v>
      </c>
      <c r="M7" s="195"/>
      <c r="N7" s="213" t="s">
        <v>356</v>
      </c>
      <c r="O7" s="200">
        <v>150</v>
      </c>
      <c r="P7" s="200" t="s">
        <v>12</v>
      </c>
      <c r="Q7" s="211">
        <v>19.5</v>
      </c>
      <c r="R7" s="203">
        <f t="shared" si="2"/>
        <v>2925</v>
      </c>
      <c r="S7" s="195"/>
      <c r="T7" s="210" t="s">
        <v>38</v>
      </c>
      <c r="U7" s="200">
        <v>80</v>
      </c>
      <c r="V7" s="200" t="s">
        <v>12</v>
      </c>
      <c r="W7" s="211">
        <v>34.799999999999997</v>
      </c>
      <c r="X7" s="203">
        <f t="shared" si="3"/>
        <v>2784</v>
      </c>
      <c r="Y7" s="195"/>
      <c r="Z7" s="213" t="s">
        <v>505</v>
      </c>
      <c r="AA7" s="200">
        <v>90</v>
      </c>
      <c r="AB7" s="200" t="s">
        <v>59</v>
      </c>
      <c r="AC7" s="211">
        <v>58</v>
      </c>
      <c r="AD7" s="203">
        <f t="shared" si="4"/>
        <v>5220</v>
      </c>
    </row>
    <row r="8" spans="2:30" ht="15" x14ac:dyDescent="0.25">
      <c r="B8" s="212"/>
      <c r="C8" s="200"/>
      <c r="D8" s="200"/>
      <c r="E8" s="211"/>
      <c r="F8" s="203">
        <f t="shared" si="0"/>
        <v>0</v>
      </c>
      <c r="G8" s="195"/>
      <c r="H8" s="212" t="s">
        <v>357</v>
      </c>
      <c r="I8" s="200">
        <v>20</v>
      </c>
      <c r="J8" s="200" t="s">
        <v>12</v>
      </c>
      <c r="K8" s="211">
        <v>23</v>
      </c>
      <c r="L8" s="203">
        <f t="shared" si="1"/>
        <v>460</v>
      </c>
      <c r="M8" s="195"/>
      <c r="N8" s="213" t="s">
        <v>355</v>
      </c>
      <c r="O8" s="200">
        <v>5</v>
      </c>
      <c r="P8" s="200" t="s">
        <v>12</v>
      </c>
      <c r="Q8" s="211">
        <v>11</v>
      </c>
      <c r="R8" s="203">
        <f t="shared" si="2"/>
        <v>55</v>
      </c>
      <c r="S8" s="195"/>
      <c r="T8" s="210" t="s">
        <v>502</v>
      </c>
      <c r="U8" s="200">
        <v>150</v>
      </c>
      <c r="V8" s="200" t="s">
        <v>12</v>
      </c>
      <c r="W8" s="211">
        <v>10.4</v>
      </c>
      <c r="X8" s="203">
        <f t="shared" si="3"/>
        <v>1560</v>
      </c>
      <c r="Y8" s="195"/>
      <c r="Z8" s="213" t="s">
        <v>506</v>
      </c>
      <c r="AA8" s="200">
        <v>20</v>
      </c>
      <c r="AB8" s="200" t="s">
        <v>59</v>
      </c>
      <c r="AC8" s="211">
        <v>24.03</v>
      </c>
      <c r="AD8" s="203">
        <f t="shared" si="4"/>
        <v>480.6</v>
      </c>
    </row>
    <row r="9" spans="2:30" ht="15" x14ac:dyDescent="0.25">
      <c r="B9" s="212"/>
      <c r="C9" s="200"/>
      <c r="D9" s="200"/>
      <c r="E9" s="211"/>
      <c r="F9" s="203">
        <f t="shared" si="0"/>
        <v>0</v>
      </c>
      <c r="G9" s="195"/>
      <c r="H9" s="212" t="s">
        <v>358</v>
      </c>
      <c r="I9" s="200">
        <v>5</v>
      </c>
      <c r="J9" s="200" t="s">
        <v>108</v>
      </c>
      <c r="K9" s="211">
        <v>0</v>
      </c>
      <c r="L9" s="203">
        <f t="shared" si="1"/>
        <v>0</v>
      </c>
      <c r="M9" s="195"/>
      <c r="N9" s="213" t="s">
        <v>354</v>
      </c>
      <c r="O9" s="200">
        <v>5</v>
      </c>
      <c r="P9" s="200" t="s">
        <v>108</v>
      </c>
      <c r="Q9" s="211">
        <v>8</v>
      </c>
      <c r="R9" s="203">
        <f t="shared" si="2"/>
        <v>40</v>
      </c>
      <c r="S9" s="195"/>
      <c r="T9" s="210"/>
      <c r="U9" s="206"/>
      <c r="V9" s="206"/>
      <c r="W9" s="214"/>
      <c r="X9" s="203">
        <f t="shared" si="3"/>
        <v>0</v>
      </c>
      <c r="Y9" s="195"/>
      <c r="Z9" s="213" t="s">
        <v>502</v>
      </c>
      <c r="AA9" s="200">
        <v>150</v>
      </c>
      <c r="AB9" s="215" t="s">
        <v>59</v>
      </c>
      <c r="AC9" s="211">
        <v>10.4</v>
      </c>
      <c r="AD9" s="203">
        <f t="shared" si="4"/>
        <v>1560</v>
      </c>
    </row>
    <row r="10" spans="2:30" ht="15" x14ac:dyDescent="0.25">
      <c r="B10" s="216" t="s">
        <v>512</v>
      </c>
      <c r="C10" s="217"/>
      <c r="D10" s="217"/>
      <c r="E10" s="217"/>
      <c r="F10" s="218"/>
      <c r="G10" s="195"/>
      <c r="H10" s="216" t="s">
        <v>512</v>
      </c>
      <c r="I10" s="217"/>
      <c r="J10" s="217"/>
      <c r="K10" s="217"/>
      <c r="L10" s="218"/>
      <c r="M10" s="195"/>
      <c r="N10" s="216" t="s">
        <v>512</v>
      </c>
      <c r="O10" s="217"/>
      <c r="P10" s="217"/>
      <c r="Q10" s="217"/>
      <c r="R10" s="218"/>
      <c r="S10" s="195"/>
      <c r="T10" s="216" t="s">
        <v>512</v>
      </c>
      <c r="U10" s="217"/>
      <c r="V10" s="217"/>
      <c r="W10" s="217"/>
      <c r="X10" s="218"/>
      <c r="Y10" s="195"/>
      <c r="Z10" s="216" t="s">
        <v>512</v>
      </c>
      <c r="AA10" s="217"/>
      <c r="AB10" s="217"/>
      <c r="AC10" s="217"/>
      <c r="AD10" s="218"/>
    </row>
    <row r="11" spans="2:30" ht="15" x14ac:dyDescent="0.25">
      <c r="B11" s="219"/>
      <c r="C11" s="220"/>
      <c r="D11" s="221"/>
      <c r="E11" s="221"/>
      <c r="F11" s="222">
        <f>C11*140</f>
        <v>0</v>
      </c>
      <c r="G11" s="195"/>
      <c r="H11" s="290" t="s">
        <v>744</v>
      </c>
      <c r="I11" s="291">
        <v>1</v>
      </c>
      <c r="J11" s="335" t="s">
        <v>428</v>
      </c>
      <c r="K11" s="326">
        <v>1800</v>
      </c>
      <c r="L11" s="203">
        <f t="shared" si="1"/>
        <v>1800</v>
      </c>
      <c r="M11" s="195"/>
      <c r="N11" s="290" t="s">
        <v>744</v>
      </c>
      <c r="O11" s="291">
        <v>1</v>
      </c>
      <c r="P11" s="335" t="s">
        <v>428</v>
      </c>
      <c r="Q11" s="326">
        <v>1800</v>
      </c>
      <c r="R11" s="203">
        <f t="shared" ref="R11" si="5">O11*Q11</f>
        <v>1800</v>
      </c>
      <c r="S11" s="195"/>
      <c r="T11" s="290" t="s">
        <v>744</v>
      </c>
      <c r="U11" s="291">
        <v>1</v>
      </c>
      <c r="V11" s="335" t="s">
        <v>428</v>
      </c>
      <c r="W11" s="326">
        <v>1800</v>
      </c>
      <c r="X11" s="203">
        <f t="shared" ref="X11" si="6">U11*W11</f>
        <v>1800</v>
      </c>
      <c r="Y11" s="195"/>
      <c r="Z11" s="290" t="s">
        <v>744</v>
      </c>
      <c r="AA11" s="291">
        <v>1</v>
      </c>
      <c r="AB11" s="335" t="s">
        <v>428</v>
      </c>
      <c r="AC11" s="326">
        <v>1800</v>
      </c>
      <c r="AD11" s="203">
        <f t="shared" ref="AD11" si="7">AA11*AC11</f>
        <v>1800</v>
      </c>
    </row>
    <row r="12" spans="2:30" ht="15" x14ac:dyDescent="0.25">
      <c r="B12" s="219"/>
      <c r="C12" s="220"/>
      <c r="D12" s="221"/>
      <c r="E12" s="221"/>
      <c r="F12" s="222">
        <f t="shared" ref="F12:F13" si="8">C12*140</f>
        <v>0</v>
      </c>
      <c r="G12" s="195"/>
      <c r="H12" s="219"/>
      <c r="I12" s="220"/>
      <c r="J12" s="221"/>
      <c r="K12" s="221"/>
      <c r="L12" s="222">
        <f t="shared" ref="L12" si="9">I12*140</f>
        <v>0</v>
      </c>
      <c r="M12" s="195"/>
      <c r="N12" s="219"/>
      <c r="O12" s="220"/>
      <c r="P12" s="221"/>
      <c r="Q12" s="221"/>
      <c r="R12" s="222">
        <f t="shared" ref="R12" si="10">O12*140</f>
        <v>0</v>
      </c>
      <c r="S12" s="195"/>
      <c r="T12" s="219"/>
      <c r="U12" s="220"/>
      <c r="V12" s="221"/>
      <c r="W12" s="221"/>
      <c r="X12" s="222">
        <f t="shared" ref="X12" si="11">U12*140</f>
        <v>0</v>
      </c>
      <c r="Y12" s="195"/>
      <c r="Z12" s="219"/>
      <c r="AA12" s="220"/>
      <c r="AB12" s="221"/>
      <c r="AC12" s="221"/>
      <c r="AD12" s="222">
        <f t="shared" ref="AD12" si="12">AA12*140</f>
        <v>0</v>
      </c>
    </row>
    <row r="13" spans="2:30" ht="15" x14ac:dyDescent="0.25">
      <c r="B13" s="219"/>
      <c r="C13" s="220"/>
      <c r="D13" s="221"/>
      <c r="E13" s="221"/>
      <c r="F13" s="222">
        <f t="shared" si="8"/>
        <v>0</v>
      </c>
      <c r="G13" s="195"/>
      <c r="H13" s="219"/>
      <c r="I13" s="220"/>
      <c r="J13" s="221"/>
      <c r="K13" s="221"/>
      <c r="L13" s="222">
        <f>SUM(L11:L12)</f>
        <v>1800</v>
      </c>
      <c r="M13" s="195"/>
      <c r="N13" s="219"/>
      <c r="O13" s="220"/>
      <c r="P13" s="221"/>
      <c r="Q13" s="221"/>
      <c r="R13" s="222">
        <f>SUM(R11:R12)</f>
        <v>1800</v>
      </c>
      <c r="S13" s="195"/>
      <c r="T13" s="219"/>
      <c r="U13" s="220"/>
      <c r="V13" s="221"/>
      <c r="W13" s="221"/>
      <c r="X13" s="222">
        <f>SUM(X11:X12)</f>
        <v>1800</v>
      </c>
      <c r="Y13" s="195"/>
      <c r="Z13" s="219"/>
      <c r="AA13" s="220"/>
      <c r="AB13" s="221"/>
      <c r="AC13" s="221"/>
      <c r="AD13" s="222">
        <f>SUM(AD11:AD12)</f>
        <v>1800</v>
      </c>
    </row>
    <row r="14" spans="2:30" ht="15" x14ac:dyDescent="0.25">
      <c r="B14" s="357" t="s">
        <v>510</v>
      </c>
      <c r="C14" s="358"/>
      <c r="D14" s="358"/>
      <c r="E14" s="358"/>
      <c r="F14" s="359"/>
      <c r="G14" s="195"/>
      <c r="H14" s="357" t="s">
        <v>510</v>
      </c>
      <c r="I14" s="358"/>
      <c r="J14" s="358"/>
      <c r="K14" s="358"/>
      <c r="L14" s="359"/>
      <c r="M14" s="195"/>
      <c r="N14" s="357" t="s">
        <v>510</v>
      </c>
      <c r="O14" s="358"/>
      <c r="P14" s="358"/>
      <c r="Q14" s="358"/>
      <c r="R14" s="359"/>
      <c r="S14" s="195"/>
      <c r="T14" s="357" t="s">
        <v>510</v>
      </c>
      <c r="U14" s="358"/>
      <c r="V14" s="358"/>
      <c r="W14" s="358"/>
      <c r="X14" s="359"/>
      <c r="Y14" s="195"/>
      <c r="Z14" s="357" t="s">
        <v>510</v>
      </c>
      <c r="AA14" s="358"/>
      <c r="AB14" s="358"/>
      <c r="AC14" s="358"/>
      <c r="AD14" s="359"/>
    </row>
    <row r="15" spans="2:30" ht="15" x14ac:dyDescent="0.25">
      <c r="B15" s="219" t="s">
        <v>511</v>
      </c>
      <c r="C15" s="223"/>
      <c r="D15" s="223"/>
      <c r="E15" s="224"/>
      <c r="F15" s="225">
        <f>(F4+F5+F6+F7+F8+F9+F11+F12+F13)</f>
        <v>12146.8</v>
      </c>
      <c r="G15" s="195"/>
      <c r="H15" s="219" t="s">
        <v>511</v>
      </c>
      <c r="I15" s="223"/>
      <c r="J15" s="223"/>
      <c r="K15" s="224"/>
      <c r="L15" s="225">
        <f>(L4+L5+L6+L7+L8+L9+L13)</f>
        <v>9065</v>
      </c>
      <c r="M15" s="195"/>
      <c r="N15" s="219" t="s">
        <v>511</v>
      </c>
      <c r="O15" s="223"/>
      <c r="P15" s="223"/>
      <c r="Q15" s="224"/>
      <c r="R15" s="225">
        <f>(R4+R5+R6+R7+R8+R9+R11+R12+R13)</f>
        <v>11636</v>
      </c>
      <c r="S15" s="195"/>
      <c r="T15" s="219" t="s">
        <v>511</v>
      </c>
      <c r="U15" s="223"/>
      <c r="V15" s="223"/>
      <c r="W15" s="224"/>
      <c r="X15" s="225">
        <f>(X4+X5+X6+X7+X8+X9+X11+X12+X13)</f>
        <v>13712.4</v>
      </c>
      <c r="Y15" s="195"/>
      <c r="Z15" s="219" t="s">
        <v>511</v>
      </c>
      <c r="AA15" s="223"/>
      <c r="AB15" s="223"/>
      <c r="AC15" s="224"/>
      <c r="AD15" s="225">
        <f>(AD4+AD5+AD6+AD7+AD8+AD9+AD11+AD12+AD13)</f>
        <v>18896.21</v>
      </c>
    </row>
    <row r="16" spans="2:30" ht="15" x14ac:dyDescent="0.25">
      <c r="B16" s="226" t="s">
        <v>17</v>
      </c>
      <c r="C16" s="223"/>
      <c r="D16" s="223"/>
      <c r="E16" s="224"/>
      <c r="F16" s="227">
        <f>F15*0.1</f>
        <v>1214.68</v>
      </c>
      <c r="G16" s="195"/>
      <c r="H16" s="226" t="s">
        <v>17</v>
      </c>
      <c r="I16" s="223"/>
      <c r="J16" s="223"/>
      <c r="K16" s="224"/>
      <c r="L16" s="227">
        <f>L15*0.1</f>
        <v>906.5</v>
      </c>
      <c r="M16" s="195"/>
      <c r="N16" s="226" t="s">
        <v>17</v>
      </c>
      <c r="O16" s="223"/>
      <c r="P16" s="223"/>
      <c r="Q16" s="224"/>
      <c r="R16" s="227">
        <f>R15*0.1</f>
        <v>1163.6000000000001</v>
      </c>
      <c r="S16" s="195"/>
      <c r="T16" s="226" t="s">
        <v>17</v>
      </c>
      <c r="U16" s="223"/>
      <c r="V16" s="223"/>
      <c r="W16" s="224"/>
      <c r="X16" s="227">
        <f>X15*0.1</f>
        <v>1371.24</v>
      </c>
      <c r="Y16" s="195"/>
      <c r="Z16" s="226" t="s">
        <v>17</v>
      </c>
      <c r="AA16" s="223"/>
      <c r="AB16" s="223"/>
      <c r="AC16" s="224"/>
      <c r="AD16" s="227">
        <f>AD15*0.1</f>
        <v>1889.6210000000001</v>
      </c>
    </row>
    <row r="17" spans="2:30" ht="15" x14ac:dyDescent="0.25">
      <c r="B17" s="226" t="s">
        <v>18</v>
      </c>
      <c r="C17" s="223"/>
      <c r="D17" s="223"/>
      <c r="E17" s="224"/>
      <c r="F17" s="227">
        <f>SUM(F15:F16)</f>
        <v>13361.48</v>
      </c>
      <c r="G17" s="195"/>
      <c r="H17" s="226" t="s">
        <v>18</v>
      </c>
      <c r="I17" s="223"/>
      <c r="J17" s="223"/>
      <c r="K17" s="224"/>
      <c r="L17" s="227">
        <f>SUM(L15:L16)</f>
        <v>9971.5</v>
      </c>
      <c r="M17" s="195"/>
      <c r="N17" s="226" t="s">
        <v>18</v>
      </c>
      <c r="O17" s="223"/>
      <c r="P17" s="223"/>
      <c r="Q17" s="224"/>
      <c r="R17" s="227">
        <f>SUM(R15:R16)</f>
        <v>12799.6</v>
      </c>
      <c r="S17" s="195"/>
      <c r="T17" s="226" t="s">
        <v>18</v>
      </c>
      <c r="U17" s="223"/>
      <c r="V17" s="223"/>
      <c r="W17" s="224"/>
      <c r="X17" s="227">
        <f>SUM(X15:X16)</f>
        <v>15083.64</v>
      </c>
      <c r="Y17" s="195"/>
      <c r="Z17" s="226" t="s">
        <v>18</v>
      </c>
      <c r="AA17" s="223"/>
      <c r="AB17" s="223"/>
      <c r="AC17" s="224"/>
      <c r="AD17" s="227">
        <f>SUM(AD15:AD16)</f>
        <v>20785.830999999998</v>
      </c>
    </row>
    <row r="18" spans="2:30" ht="15" x14ac:dyDescent="0.25">
      <c r="B18" s="219" t="s">
        <v>435</v>
      </c>
      <c r="C18" s="223"/>
      <c r="D18" s="223"/>
      <c r="E18" s="224"/>
      <c r="F18" s="225">
        <f>F17</f>
        <v>13361.48</v>
      </c>
      <c r="G18" s="195"/>
      <c r="H18" s="219" t="s">
        <v>435</v>
      </c>
      <c r="I18" s="223"/>
      <c r="J18" s="223"/>
      <c r="K18" s="224"/>
      <c r="L18" s="225">
        <v>38000</v>
      </c>
      <c r="M18" s="195"/>
      <c r="N18" s="219" t="s">
        <v>435</v>
      </c>
      <c r="O18" s="223"/>
      <c r="P18" s="223"/>
      <c r="Q18" s="224"/>
      <c r="R18" s="225">
        <v>30000</v>
      </c>
      <c r="S18" s="195"/>
      <c r="T18" s="219" t="s">
        <v>435</v>
      </c>
      <c r="U18" s="223"/>
      <c r="V18" s="223"/>
      <c r="W18" s="224"/>
      <c r="X18" s="225">
        <v>32000</v>
      </c>
      <c r="Y18" s="195"/>
      <c r="Z18" s="219" t="s">
        <v>435</v>
      </c>
      <c r="AA18" s="223"/>
      <c r="AB18" s="223"/>
      <c r="AC18" s="224"/>
      <c r="AD18" s="225">
        <v>38000</v>
      </c>
    </row>
    <row r="19" spans="2:30" ht="15.75" thickBot="1" x14ac:dyDescent="0.3">
      <c r="B19" s="228"/>
      <c r="C19" s="229"/>
      <c r="D19" s="229"/>
      <c r="E19" s="229"/>
      <c r="F19" s="230"/>
      <c r="G19" s="195"/>
      <c r="H19" s="228"/>
      <c r="I19" s="229"/>
      <c r="J19" s="229"/>
      <c r="K19" s="229"/>
      <c r="L19" s="230"/>
      <c r="M19" s="195"/>
      <c r="N19" s="228"/>
      <c r="O19" s="229"/>
      <c r="P19" s="229"/>
      <c r="Q19" s="229"/>
      <c r="R19" s="230"/>
      <c r="S19" s="195"/>
      <c r="T19" s="228"/>
      <c r="U19" s="229"/>
      <c r="V19" s="229"/>
      <c r="W19" s="229"/>
      <c r="X19" s="230"/>
      <c r="Y19" s="195"/>
      <c r="Z19" s="228"/>
      <c r="AA19" s="229"/>
      <c r="AB19" s="229"/>
      <c r="AC19" s="229"/>
      <c r="AD19" s="230"/>
    </row>
    <row r="22" spans="2:30" x14ac:dyDescent="0.2">
      <c r="X22" s="288">
        <f>X17/X18</f>
        <v>0.47136374999999997</v>
      </c>
    </row>
  </sheetData>
  <mergeCells count="10">
    <mergeCell ref="B2:F2"/>
    <mergeCell ref="B14:F14"/>
    <mergeCell ref="Z2:AD2"/>
    <mergeCell ref="Z14:AD14"/>
    <mergeCell ref="T2:X2"/>
    <mergeCell ref="T14:X14"/>
    <mergeCell ref="N2:R2"/>
    <mergeCell ref="N14:R14"/>
    <mergeCell ref="H2:L2"/>
    <mergeCell ref="H14:L14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E2BD-614F-42A4-A6E0-969F5736FEE5}">
  <dimension ref="B1:R183"/>
  <sheetViews>
    <sheetView tabSelected="1" topLeftCell="G44" workbookViewId="0">
      <selection activeCell="Q65" sqref="Q65"/>
    </sheetView>
  </sheetViews>
  <sheetFormatPr baseColWidth="10" defaultRowHeight="12.75" x14ac:dyDescent="0.2"/>
  <cols>
    <col min="2" max="2" width="43.42578125" bestFit="1" customWidth="1"/>
    <col min="3" max="3" width="11.8554687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613</v>
      </c>
      <c r="C2" s="355"/>
      <c r="D2" s="355"/>
      <c r="E2" s="355"/>
      <c r="F2" s="356"/>
      <c r="H2" s="354" t="s">
        <v>701</v>
      </c>
      <c r="I2" s="355"/>
      <c r="J2" s="355"/>
      <c r="K2" s="355"/>
      <c r="L2" s="356"/>
      <c r="N2" s="354" t="s">
        <v>621</v>
      </c>
      <c r="O2" s="355"/>
      <c r="P2" s="355"/>
      <c r="Q2" s="355"/>
      <c r="R2" s="356"/>
    </row>
    <row r="3" spans="2:18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</row>
    <row r="4" spans="2:18" ht="15.75" x14ac:dyDescent="0.25">
      <c r="B4" s="262" t="s">
        <v>615</v>
      </c>
      <c r="C4" s="108">
        <v>300</v>
      </c>
      <c r="D4" s="255" t="s">
        <v>12</v>
      </c>
      <c r="E4" s="320">
        <v>3.8</v>
      </c>
      <c r="F4" s="203">
        <f>C4*E4</f>
        <v>1140</v>
      </c>
      <c r="H4" s="257" t="s">
        <v>620</v>
      </c>
      <c r="I4" s="258">
        <v>100</v>
      </c>
      <c r="J4" s="259" t="s">
        <v>12</v>
      </c>
      <c r="K4" s="260">
        <v>6</v>
      </c>
      <c r="L4" s="261">
        <f>I4*K4</f>
        <v>600</v>
      </c>
      <c r="N4" s="257" t="s">
        <v>622</v>
      </c>
      <c r="O4" s="258">
        <v>2</v>
      </c>
      <c r="P4" s="259" t="s">
        <v>12</v>
      </c>
      <c r="Q4" s="253">
        <v>498</v>
      </c>
      <c r="R4" s="261">
        <f>O4*Q4</f>
        <v>996</v>
      </c>
    </row>
    <row r="5" spans="2:18" ht="15" x14ac:dyDescent="0.25">
      <c r="B5" s="262" t="s">
        <v>537</v>
      </c>
      <c r="C5" s="108">
        <v>60</v>
      </c>
      <c r="D5" s="254" t="s">
        <v>12</v>
      </c>
      <c r="E5" s="320">
        <v>4.4000000000000004</v>
      </c>
      <c r="F5" s="203">
        <f t="shared" ref="F5:F13" si="0">C5*E5</f>
        <v>264</v>
      </c>
      <c r="H5" s="262" t="s">
        <v>619</v>
      </c>
      <c r="I5" s="108">
        <v>2</v>
      </c>
      <c r="J5" s="254" t="s">
        <v>12</v>
      </c>
      <c r="K5" s="253">
        <v>498</v>
      </c>
      <c r="L5" s="203">
        <f t="shared" ref="L5:L13" si="1">I5*K5</f>
        <v>996</v>
      </c>
      <c r="N5" s="262" t="s">
        <v>623</v>
      </c>
      <c r="O5" s="108">
        <v>20</v>
      </c>
      <c r="P5" s="254" t="s">
        <v>12</v>
      </c>
      <c r="Q5" s="253">
        <v>15</v>
      </c>
      <c r="R5" s="203">
        <f t="shared" ref="R5:R13" si="2">O5*Q5</f>
        <v>300</v>
      </c>
    </row>
    <row r="6" spans="2:18" ht="15" x14ac:dyDescent="0.25">
      <c r="B6" s="262" t="s">
        <v>699</v>
      </c>
      <c r="C6" s="108">
        <v>25</v>
      </c>
      <c r="D6" s="254" t="s">
        <v>12</v>
      </c>
      <c r="E6" s="320">
        <v>2.4</v>
      </c>
      <c r="F6" s="203">
        <f t="shared" si="0"/>
        <v>60</v>
      </c>
      <c r="H6" s="262" t="s">
        <v>618</v>
      </c>
      <c r="I6" s="108">
        <v>10</v>
      </c>
      <c r="J6" s="254" t="s">
        <v>12</v>
      </c>
      <c r="K6" s="320">
        <v>7.6</v>
      </c>
      <c r="L6" s="203">
        <f t="shared" si="1"/>
        <v>76</v>
      </c>
      <c r="N6" s="262" t="s">
        <v>624</v>
      </c>
      <c r="O6" s="108">
        <v>1000</v>
      </c>
      <c r="P6" s="254" t="s">
        <v>12</v>
      </c>
      <c r="Q6" s="295">
        <v>8.27</v>
      </c>
      <c r="R6" s="203">
        <f t="shared" si="2"/>
        <v>8270</v>
      </c>
    </row>
    <row r="7" spans="2:18" ht="15" x14ac:dyDescent="0.25">
      <c r="B7" s="262" t="s">
        <v>700</v>
      </c>
      <c r="C7" s="108">
        <v>10</v>
      </c>
      <c r="D7" s="254" t="s">
        <v>12</v>
      </c>
      <c r="E7" s="253">
        <v>52</v>
      </c>
      <c r="F7" s="203">
        <f t="shared" si="0"/>
        <v>520</v>
      </c>
      <c r="H7" s="262" t="s">
        <v>40</v>
      </c>
      <c r="I7" s="108">
        <v>10</v>
      </c>
      <c r="J7" s="254" t="s">
        <v>12</v>
      </c>
      <c r="K7" s="320">
        <v>2.4</v>
      </c>
      <c r="L7" s="203">
        <f t="shared" si="1"/>
        <v>24</v>
      </c>
      <c r="N7" s="262" t="s">
        <v>625</v>
      </c>
      <c r="O7" s="108">
        <v>20</v>
      </c>
      <c r="P7" s="254" t="s">
        <v>12</v>
      </c>
      <c r="Q7" s="320">
        <v>6.8</v>
      </c>
      <c r="R7" s="203">
        <f t="shared" si="2"/>
        <v>136</v>
      </c>
    </row>
    <row r="8" spans="2:18" ht="15" x14ac:dyDescent="0.25">
      <c r="B8" s="262" t="s">
        <v>614</v>
      </c>
      <c r="C8" s="108">
        <v>100</v>
      </c>
      <c r="D8" s="254" t="s">
        <v>59</v>
      </c>
      <c r="E8" s="320">
        <v>7.6</v>
      </c>
      <c r="F8" s="203">
        <f t="shared" si="0"/>
        <v>760</v>
      </c>
      <c r="H8" s="262" t="s">
        <v>41</v>
      </c>
      <c r="I8" s="108">
        <v>10</v>
      </c>
      <c r="J8" s="254" t="s">
        <v>59</v>
      </c>
      <c r="K8" s="253">
        <v>52</v>
      </c>
      <c r="L8" s="203">
        <f t="shared" si="1"/>
        <v>520</v>
      </c>
      <c r="N8" s="262" t="s">
        <v>626</v>
      </c>
      <c r="O8" s="108">
        <v>50</v>
      </c>
      <c r="P8" s="254" t="s">
        <v>59</v>
      </c>
      <c r="Q8" s="253">
        <v>4.9000000000000004</v>
      </c>
      <c r="R8" s="203">
        <f t="shared" si="2"/>
        <v>245.00000000000003</v>
      </c>
    </row>
    <row r="9" spans="2:18" ht="15" x14ac:dyDescent="0.25">
      <c r="B9" s="262"/>
      <c r="C9" s="108"/>
      <c r="D9" s="254"/>
      <c r="E9" s="253"/>
      <c r="F9" s="203">
        <f t="shared" si="0"/>
        <v>0</v>
      </c>
      <c r="H9" s="262" t="s">
        <v>411</v>
      </c>
      <c r="I9" s="108">
        <v>20</v>
      </c>
      <c r="J9" s="254" t="s">
        <v>59</v>
      </c>
      <c r="K9" s="253">
        <v>13</v>
      </c>
      <c r="L9" s="203">
        <f t="shared" si="1"/>
        <v>260</v>
      </c>
      <c r="N9" s="262" t="s">
        <v>627</v>
      </c>
      <c r="O9" s="108">
        <v>10</v>
      </c>
      <c r="P9" s="254" t="s">
        <v>59</v>
      </c>
      <c r="Q9" s="320">
        <v>2.4</v>
      </c>
      <c r="R9" s="203">
        <f t="shared" si="2"/>
        <v>24</v>
      </c>
    </row>
    <row r="10" spans="2:18" ht="15.75" x14ac:dyDescent="0.25">
      <c r="B10" s="265"/>
      <c r="C10" s="108"/>
      <c r="D10" s="255"/>
      <c r="E10" s="253"/>
      <c r="F10" s="203">
        <f t="shared" si="0"/>
        <v>0</v>
      </c>
      <c r="H10" s="262" t="s">
        <v>702</v>
      </c>
      <c r="I10" s="108">
        <v>500</v>
      </c>
      <c r="J10" s="255" t="s">
        <v>12</v>
      </c>
      <c r="K10" s="295">
        <v>8.27</v>
      </c>
      <c r="L10" s="203">
        <f t="shared" si="1"/>
        <v>4135</v>
      </c>
      <c r="N10" s="262" t="s">
        <v>628</v>
      </c>
      <c r="O10" s="108">
        <v>5</v>
      </c>
      <c r="P10" s="255" t="s">
        <v>12</v>
      </c>
      <c r="Q10" s="253">
        <v>52</v>
      </c>
      <c r="R10" s="203">
        <f t="shared" si="2"/>
        <v>260</v>
      </c>
    </row>
    <row r="11" spans="2:18" ht="15.75" x14ac:dyDescent="0.25">
      <c r="B11" s="265"/>
      <c r="C11" s="108"/>
      <c r="D11" s="255"/>
      <c r="E11" s="253"/>
      <c r="F11" s="203">
        <f t="shared" si="0"/>
        <v>0</v>
      </c>
      <c r="H11" s="265" t="s">
        <v>64</v>
      </c>
      <c r="I11" s="108">
        <v>20</v>
      </c>
      <c r="J11" s="255" t="s">
        <v>12</v>
      </c>
      <c r="K11" s="320">
        <v>4.4000000000000004</v>
      </c>
      <c r="L11" s="203">
        <f t="shared" si="1"/>
        <v>88</v>
      </c>
      <c r="N11" s="265"/>
      <c r="O11" s="108"/>
      <c r="P11" s="255"/>
      <c r="Q11" s="253"/>
      <c r="R11" s="203">
        <f t="shared" si="2"/>
        <v>0</v>
      </c>
    </row>
    <row r="12" spans="2:18" ht="15.75" x14ac:dyDescent="0.25">
      <c r="B12" s="265"/>
      <c r="C12" s="108"/>
      <c r="D12" s="255"/>
      <c r="E12" s="253"/>
      <c r="F12" s="203">
        <f t="shared" si="0"/>
        <v>0</v>
      </c>
      <c r="H12" s="265"/>
      <c r="I12" s="108"/>
      <c r="J12" s="255" t="s">
        <v>12</v>
      </c>
      <c r="K12" s="253"/>
      <c r="L12" s="203"/>
      <c r="N12" s="265"/>
      <c r="O12" s="108"/>
      <c r="P12" s="255"/>
      <c r="Q12" s="253"/>
      <c r="R12" s="203"/>
    </row>
    <row r="13" spans="2:18" ht="15.75" x14ac:dyDescent="0.25">
      <c r="B13" s="266"/>
      <c r="C13" s="108"/>
      <c r="D13" s="255"/>
      <c r="E13" s="253"/>
      <c r="F13" s="203">
        <f t="shared" si="0"/>
        <v>0</v>
      </c>
      <c r="H13" s="266"/>
      <c r="I13" s="108"/>
      <c r="J13" s="255" t="s">
        <v>12</v>
      </c>
      <c r="K13" s="253"/>
      <c r="L13" s="203">
        <f t="shared" si="1"/>
        <v>0</v>
      </c>
      <c r="N13" s="266"/>
      <c r="O13" s="108"/>
      <c r="P13" s="255"/>
      <c r="Q13" s="253"/>
      <c r="R13" s="203">
        <f t="shared" si="2"/>
        <v>0</v>
      </c>
    </row>
    <row r="14" spans="2:18" ht="15" x14ac:dyDescent="0.25">
      <c r="B14" s="216" t="s">
        <v>512</v>
      </c>
      <c r="C14" s="217"/>
      <c r="D14" s="217"/>
      <c r="E14" s="217"/>
      <c r="F14" s="218"/>
      <c r="H14" s="216" t="s">
        <v>512</v>
      </c>
      <c r="I14" s="217"/>
      <c r="J14" s="217"/>
      <c r="K14" s="217"/>
      <c r="L14" s="218"/>
      <c r="N14" s="216" t="s">
        <v>512</v>
      </c>
      <c r="O14" s="217"/>
      <c r="P14" s="217"/>
      <c r="Q14" s="217"/>
      <c r="R14" s="218"/>
    </row>
    <row r="15" spans="2:18" ht="15" x14ac:dyDescent="0.25">
      <c r="B15" s="219"/>
      <c r="C15" s="220"/>
      <c r="D15" s="322"/>
      <c r="E15" s="221"/>
      <c r="F15" s="222">
        <f>C15*E15</f>
        <v>0</v>
      </c>
      <c r="H15" s="219"/>
      <c r="I15" s="220"/>
      <c r="J15" s="221"/>
      <c r="K15" s="221"/>
      <c r="L15" s="222">
        <f>I15*140</f>
        <v>0</v>
      </c>
      <c r="N15" s="219"/>
      <c r="O15" s="220"/>
      <c r="P15" s="221"/>
      <c r="Q15" s="221"/>
      <c r="R15" s="222">
        <f>O15*140</f>
        <v>0</v>
      </c>
    </row>
    <row r="16" spans="2:18" ht="15" x14ac:dyDescent="0.25">
      <c r="B16" s="219"/>
      <c r="C16" s="220"/>
      <c r="D16" s="221"/>
      <c r="E16" s="221"/>
      <c r="F16" s="222">
        <f>C16*E16</f>
        <v>0</v>
      </c>
      <c r="H16" s="219"/>
      <c r="I16" s="220"/>
      <c r="J16" s="221"/>
      <c r="K16" s="221"/>
      <c r="L16" s="222">
        <f t="shared" ref="L16:L17" si="3">I16*140</f>
        <v>0</v>
      </c>
      <c r="N16" s="219"/>
      <c r="O16" s="220"/>
      <c r="P16" s="221"/>
      <c r="Q16" s="221"/>
      <c r="R16" s="222">
        <f t="shared" ref="R16:R17" si="4">O16*140</f>
        <v>0</v>
      </c>
    </row>
    <row r="17" spans="2:18" ht="15" x14ac:dyDescent="0.25">
      <c r="B17" s="219"/>
      <c r="C17" s="220"/>
      <c r="D17" s="221"/>
      <c r="E17" s="221"/>
      <c r="F17" s="222">
        <f t="shared" ref="F17" si="5">C17*140</f>
        <v>0</v>
      </c>
      <c r="H17" s="219"/>
      <c r="I17" s="220"/>
      <c r="J17" s="221"/>
      <c r="K17" s="221"/>
      <c r="L17" s="222">
        <f t="shared" si="3"/>
        <v>0</v>
      </c>
      <c r="N17" s="219"/>
      <c r="O17" s="220"/>
      <c r="P17" s="221"/>
      <c r="Q17" s="221"/>
      <c r="R17" s="222">
        <f t="shared" si="4"/>
        <v>0</v>
      </c>
    </row>
    <row r="18" spans="2:18" ht="15" x14ac:dyDescent="0.25">
      <c r="B18" s="357" t="s">
        <v>510</v>
      </c>
      <c r="C18" s="358"/>
      <c r="D18" s="358"/>
      <c r="E18" s="358"/>
      <c r="F18" s="359"/>
      <c r="H18" s="357" t="s">
        <v>510</v>
      </c>
      <c r="I18" s="358"/>
      <c r="J18" s="358"/>
      <c r="K18" s="358"/>
      <c r="L18" s="359"/>
      <c r="N18" s="357" t="s">
        <v>510</v>
      </c>
      <c r="O18" s="358"/>
      <c r="P18" s="358"/>
      <c r="Q18" s="358"/>
      <c r="R18" s="359"/>
    </row>
    <row r="19" spans="2:18" ht="15" x14ac:dyDescent="0.25">
      <c r="B19" s="219" t="s">
        <v>511</v>
      </c>
      <c r="C19" s="223"/>
      <c r="D19" s="223"/>
      <c r="E19" s="224"/>
      <c r="F19" s="225">
        <f>F17+F16+F15+F13+F12+F11+F10+F9+F8+F7+F6+F5+F4</f>
        <v>2744</v>
      </c>
      <c r="H19" s="219" t="s">
        <v>511</v>
      </c>
      <c r="I19" s="223"/>
      <c r="J19" s="223"/>
      <c r="K19" s="224"/>
      <c r="L19" s="225">
        <f>(L4+L5+L6+L7+L8+L9+L10+L11+L13+L17)</f>
        <v>6699</v>
      </c>
      <c r="N19" s="219" t="s">
        <v>511</v>
      </c>
      <c r="O19" s="223"/>
      <c r="P19" s="223"/>
      <c r="Q19" s="224"/>
      <c r="R19" s="225">
        <f>(R4+R5+R6+R7+R8+R9+R10+R11+R13+R17)</f>
        <v>10231</v>
      </c>
    </row>
    <row r="20" spans="2:18" ht="15" x14ac:dyDescent="0.25">
      <c r="B20" s="226" t="s">
        <v>17</v>
      </c>
      <c r="C20" s="223"/>
      <c r="D20" s="223"/>
      <c r="E20" s="224"/>
      <c r="F20" s="227">
        <f>F19*0.1</f>
        <v>274.40000000000003</v>
      </c>
      <c r="H20" s="226" t="s">
        <v>17</v>
      </c>
      <c r="I20" s="223"/>
      <c r="J20" s="223"/>
      <c r="K20" s="224"/>
      <c r="L20" s="227">
        <f>L19*0.1</f>
        <v>669.90000000000009</v>
      </c>
      <c r="N20" s="226" t="s">
        <v>17</v>
      </c>
      <c r="O20" s="223"/>
      <c r="P20" s="223"/>
      <c r="Q20" s="224"/>
      <c r="R20" s="227">
        <f>R19*0.1</f>
        <v>1023.1</v>
      </c>
    </row>
    <row r="21" spans="2:18" ht="15" x14ac:dyDescent="0.25">
      <c r="B21" s="226" t="s">
        <v>18</v>
      </c>
      <c r="C21" s="223"/>
      <c r="D21" s="223"/>
      <c r="E21" s="224"/>
      <c r="F21" s="227">
        <f>SUM(F19:F20)</f>
        <v>3018.4</v>
      </c>
      <c r="H21" s="226" t="s">
        <v>18</v>
      </c>
      <c r="I21" s="223"/>
      <c r="J21" s="223"/>
      <c r="K21" s="224"/>
      <c r="L21" s="227">
        <f>SUM(L19:L20)</f>
        <v>7368.9</v>
      </c>
      <c r="N21" s="226" t="s">
        <v>18</v>
      </c>
      <c r="O21" s="223"/>
      <c r="P21" s="223"/>
      <c r="Q21" s="224"/>
      <c r="R21" s="227">
        <f>SUM(R19:R20)</f>
        <v>11254.1</v>
      </c>
    </row>
    <row r="22" spans="2:18" ht="15" x14ac:dyDescent="0.25">
      <c r="B22" s="219" t="s">
        <v>435</v>
      </c>
      <c r="C22" s="223"/>
      <c r="D22" s="223"/>
      <c r="E22" s="224"/>
      <c r="F22" s="225">
        <v>0</v>
      </c>
      <c r="H22" s="219" t="s">
        <v>435</v>
      </c>
      <c r="I22" s="223"/>
      <c r="J22" s="223"/>
      <c r="K22" s="224"/>
      <c r="L22" s="225">
        <v>0</v>
      </c>
      <c r="N22" s="219" t="s">
        <v>435</v>
      </c>
      <c r="O22" s="223"/>
      <c r="P22" s="223"/>
      <c r="Q22" s="224"/>
      <c r="R22" s="225">
        <v>0</v>
      </c>
    </row>
    <row r="23" spans="2:18" ht="15.75" thickBot="1" x14ac:dyDescent="0.3">
      <c r="B23" s="228"/>
      <c r="C23" s="229"/>
      <c r="D23" s="229"/>
      <c r="E23" s="229">
        <v>495</v>
      </c>
      <c r="F23" s="323">
        <f>F21/E23</f>
        <v>6.097777777777778</v>
      </c>
      <c r="H23" s="228"/>
      <c r="I23" s="229"/>
      <c r="J23" s="229"/>
      <c r="K23" s="229">
        <v>680</v>
      </c>
      <c r="L23" s="323">
        <f>L21/K23</f>
        <v>10.836617647058823</v>
      </c>
      <c r="N23" s="228"/>
      <c r="O23" s="229"/>
      <c r="P23" s="229"/>
      <c r="Q23" s="229">
        <v>1100</v>
      </c>
      <c r="R23" s="323">
        <f>R21/Q23</f>
        <v>10.231</v>
      </c>
    </row>
    <row r="24" spans="2:18" ht="13.5" thickBot="1" x14ac:dyDescent="0.25"/>
    <row r="25" spans="2:18" ht="15" x14ac:dyDescent="0.25">
      <c r="B25" s="354" t="s">
        <v>607</v>
      </c>
      <c r="C25" s="355"/>
      <c r="D25" s="355"/>
      <c r="E25" s="355"/>
      <c r="F25" s="356"/>
      <c r="H25" s="354" t="s">
        <v>635</v>
      </c>
      <c r="I25" s="355"/>
      <c r="J25" s="355"/>
      <c r="K25" s="355"/>
      <c r="L25" s="356"/>
      <c r="N25" s="354" t="s">
        <v>643</v>
      </c>
      <c r="O25" s="355"/>
      <c r="P25" s="355"/>
      <c r="Q25" s="355"/>
      <c r="R25" s="356"/>
    </row>
    <row r="26" spans="2:18" ht="15.75" thickBot="1" x14ac:dyDescent="0.3">
      <c r="B26" s="197" t="s">
        <v>3</v>
      </c>
      <c r="C26" s="197" t="s">
        <v>507</v>
      </c>
      <c r="D26" s="197" t="s">
        <v>508</v>
      </c>
      <c r="E26" s="197" t="s">
        <v>513</v>
      </c>
      <c r="F26" s="256" t="s">
        <v>509</v>
      </c>
      <c r="H26" s="327" t="s">
        <v>3</v>
      </c>
      <c r="I26" s="197" t="s">
        <v>507</v>
      </c>
      <c r="J26" s="197" t="s">
        <v>508</v>
      </c>
      <c r="K26" s="197" t="s">
        <v>513</v>
      </c>
      <c r="L26" s="328" t="s">
        <v>509</v>
      </c>
      <c r="N26" s="197" t="s">
        <v>3</v>
      </c>
      <c r="O26" s="197" t="s">
        <v>507</v>
      </c>
      <c r="P26" s="197" t="s">
        <v>508</v>
      </c>
      <c r="Q26" s="197" t="s">
        <v>513</v>
      </c>
      <c r="R26" s="256" t="s">
        <v>509</v>
      </c>
    </row>
    <row r="27" spans="2:18" ht="15.75" x14ac:dyDescent="0.25">
      <c r="B27" s="257" t="s">
        <v>629</v>
      </c>
      <c r="C27" s="258">
        <v>50</v>
      </c>
      <c r="D27" s="259" t="s">
        <v>12</v>
      </c>
      <c r="E27" s="321">
        <v>3.58</v>
      </c>
      <c r="F27" s="261">
        <f>C27*E27</f>
        <v>179</v>
      </c>
      <c r="H27" s="257" t="s">
        <v>561</v>
      </c>
      <c r="I27" s="258">
        <v>2000</v>
      </c>
      <c r="J27" s="259" t="s">
        <v>12</v>
      </c>
      <c r="K27" s="321">
        <v>63.5</v>
      </c>
      <c r="L27" s="261">
        <f>I27*K27</f>
        <v>127000</v>
      </c>
      <c r="N27" s="257" t="s">
        <v>644</v>
      </c>
      <c r="O27" s="258">
        <v>200</v>
      </c>
      <c r="P27" s="259" t="s">
        <v>12</v>
      </c>
      <c r="Q27" s="331">
        <v>3.98</v>
      </c>
      <c r="R27" s="261">
        <f>O27*Q27</f>
        <v>796</v>
      </c>
    </row>
    <row r="28" spans="2:18" ht="15" x14ac:dyDescent="0.25">
      <c r="B28" s="262" t="s">
        <v>630</v>
      </c>
      <c r="C28" s="108">
        <v>50</v>
      </c>
      <c r="D28" s="254" t="s">
        <v>12</v>
      </c>
      <c r="E28" s="320">
        <v>4.58</v>
      </c>
      <c r="F28" s="203">
        <f t="shared" ref="F28:F34" si="6">C28*E28</f>
        <v>229</v>
      </c>
      <c r="H28" s="262" t="s">
        <v>638</v>
      </c>
      <c r="I28" s="108">
        <v>50</v>
      </c>
      <c r="J28" s="254" t="s">
        <v>12</v>
      </c>
      <c r="K28" s="320">
        <v>4.5999999999999996</v>
      </c>
      <c r="L28" s="203">
        <f t="shared" ref="L28:L32" si="7">I28*K28</f>
        <v>229.99999999999997</v>
      </c>
      <c r="N28" s="262" t="s">
        <v>645</v>
      </c>
      <c r="O28" s="108">
        <v>50</v>
      </c>
      <c r="P28" s="254" t="s">
        <v>12</v>
      </c>
      <c r="Q28" s="253">
        <v>30</v>
      </c>
      <c r="R28" s="203">
        <f t="shared" ref="R28:R36" si="8">O28*Q28</f>
        <v>1500</v>
      </c>
    </row>
    <row r="29" spans="2:18" ht="15" x14ac:dyDescent="0.25">
      <c r="B29" s="262" t="s">
        <v>631</v>
      </c>
      <c r="C29" s="108">
        <v>2</v>
      </c>
      <c r="D29" s="254" t="s">
        <v>12</v>
      </c>
      <c r="E29" s="253">
        <v>15</v>
      </c>
      <c r="F29" s="203">
        <f t="shared" si="6"/>
        <v>30</v>
      </c>
      <c r="H29" s="262" t="s">
        <v>637</v>
      </c>
      <c r="I29" s="108">
        <v>100</v>
      </c>
      <c r="J29" s="254" t="s">
        <v>12</v>
      </c>
      <c r="K29" s="320">
        <v>3.8</v>
      </c>
      <c r="L29" s="203">
        <f t="shared" si="7"/>
        <v>380</v>
      </c>
      <c r="N29" s="262"/>
      <c r="O29" s="108"/>
      <c r="P29" s="254" t="s">
        <v>12</v>
      </c>
      <c r="Q29" s="253"/>
      <c r="R29" s="203">
        <f t="shared" si="8"/>
        <v>0</v>
      </c>
    </row>
    <row r="30" spans="2:18" ht="15" x14ac:dyDescent="0.25">
      <c r="B30" s="262" t="s">
        <v>632</v>
      </c>
      <c r="C30" s="108">
        <v>1</v>
      </c>
      <c r="D30" s="254" t="s">
        <v>12</v>
      </c>
      <c r="E30" s="320">
        <v>2.4</v>
      </c>
      <c r="F30" s="203">
        <f t="shared" si="6"/>
        <v>2.4</v>
      </c>
      <c r="H30" s="262" t="s">
        <v>636</v>
      </c>
      <c r="I30" s="108">
        <v>50</v>
      </c>
      <c r="J30" s="254" t="s">
        <v>12</v>
      </c>
      <c r="K30" s="320">
        <v>5.3</v>
      </c>
      <c r="L30" s="203">
        <f t="shared" si="7"/>
        <v>265</v>
      </c>
      <c r="N30" s="262"/>
      <c r="O30" s="108"/>
      <c r="P30" s="254" t="s">
        <v>12</v>
      </c>
      <c r="Q30" s="253"/>
      <c r="R30" s="203">
        <f t="shared" si="8"/>
        <v>0</v>
      </c>
    </row>
    <row r="31" spans="2:18" ht="15" x14ac:dyDescent="0.25">
      <c r="B31" s="262" t="s">
        <v>633</v>
      </c>
      <c r="C31" s="108">
        <v>20</v>
      </c>
      <c r="D31" s="254" t="s">
        <v>59</v>
      </c>
      <c r="E31" s="253">
        <v>30</v>
      </c>
      <c r="F31" s="203">
        <f t="shared" si="6"/>
        <v>600</v>
      </c>
      <c r="H31" s="262" t="s">
        <v>639</v>
      </c>
      <c r="I31" s="108">
        <v>5</v>
      </c>
      <c r="J31" s="254" t="s">
        <v>59</v>
      </c>
      <c r="K31" s="253">
        <v>52</v>
      </c>
      <c r="L31" s="203">
        <f t="shared" si="7"/>
        <v>260</v>
      </c>
      <c r="N31" s="262"/>
      <c r="O31" s="108"/>
      <c r="P31" s="254" t="s">
        <v>59</v>
      </c>
      <c r="Q31" s="253"/>
      <c r="R31" s="203">
        <f t="shared" si="8"/>
        <v>0</v>
      </c>
    </row>
    <row r="32" spans="2:18" ht="15" x14ac:dyDescent="0.25">
      <c r="B32" s="262" t="s">
        <v>634</v>
      </c>
      <c r="C32" s="108">
        <v>2</v>
      </c>
      <c r="D32" s="254" t="s">
        <v>59</v>
      </c>
      <c r="E32" s="253">
        <v>44.8</v>
      </c>
      <c r="F32" s="203">
        <f t="shared" si="6"/>
        <v>89.6</v>
      </c>
      <c r="H32" s="262" t="s">
        <v>703</v>
      </c>
      <c r="I32" s="108">
        <v>100</v>
      </c>
      <c r="J32" s="254" t="s">
        <v>59</v>
      </c>
      <c r="K32" s="253">
        <v>52</v>
      </c>
      <c r="L32" s="203">
        <f t="shared" si="7"/>
        <v>5200</v>
      </c>
      <c r="N32" s="262"/>
      <c r="O32" s="108"/>
      <c r="P32" s="254" t="s">
        <v>59</v>
      </c>
      <c r="Q32" s="253"/>
      <c r="R32" s="203">
        <f t="shared" si="8"/>
        <v>0</v>
      </c>
    </row>
    <row r="33" spans="2:18" ht="15.75" x14ac:dyDescent="0.25">
      <c r="B33" s="262"/>
      <c r="C33" s="108"/>
      <c r="D33" s="255"/>
      <c r="E33" s="253"/>
      <c r="F33" s="203">
        <f t="shared" si="6"/>
        <v>0</v>
      </c>
      <c r="H33" s="265" t="s">
        <v>640</v>
      </c>
      <c r="I33" s="108">
        <v>10</v>
      </c>
      <c r="J33" s="255" t="s">
        <v>12</v>
      </c>
      <c r="K33" s="253">
        <v>15</v>
      </c>
      <c r="L33" s="203">
        <f>I33*K33</f>
        <v>150</v>
      </c>
      <c r="N33" s="262"/>
      <c r="O33" s="108"/>
      <c r="P33" s="255" t="s">
        <v>12</v>
      </c>
      <c r="Q33" s="253"/>
      <c r="R33" s="203">
        <f t="shared" si="8"/>
        <v>0</v>
      </c>
    </row>
    <row r="34" spans="2:18" ht="15.75" x14ac:dyDescent="0.25">
      <c r="B34" s="265"/>
      <c r="C34" s="108"/>
      <c r="D34" s="255"/>
      <c r="E34" s="253"/>
      <c r="F34" s="203">
        <f t="shared" si="6"/>
        <v>0</v>
      </c>
      <c r="H34" s="290" t="s">
        <v>641</v>
      </c>
      <c r="I34" s="291">
        <v>1</v>
      </c>
      <c r="J34" s="324" t="s">
        <v>12</v>
      </c>
      <c r="K34" s="269">
        <v>55.6</v>
      </c>
      <c r="L34" s="222">
        <f>I34*K34</f>
        <v>55.6</v>
      </c>
      <c r="N34" s="265"/>
      <c r="O34" s="108"/>
      <c r="P34" s="255"/>
      <c r="Q34" s="253"/>
      <c r="R34" s="203">
        <f t="shared" si="8"/>
        <v>0</v>
      </c>
    </row>
    <row r="35" spans="2:18" ht="15.75" x14ac:dyDescent="0.25">
      <c r="B35" s="265"/>
      <c r="C35" s="108"/>
      <c r="D35" s="255"/>
      <c r="E35" s="253"/>
      <c r="F35" s="203"/>
      <c r="H35" s="290" t="s">
        <v>642</v>
      </c>
      <c r="I35" s="291">
        <v>5</v>
      </c>
      <c r="J35" s="324" t="s">
        <v>12</v>
      </c>
      <c r="K35" s="326">
        <v>45</v>
      </c>
      <c r="L35" s="222">
        <f>I35*K35</f>
        <v>225</v>
      </c>
      <c r="N35" s="265"/>
      <c r="O35" s="108"/>
      <c r="P35" s="255"/>
      <c r="Q35" s="253"/>
      <c r="R35" s="203"/>
    </row>
    <row r="36" spans="2:18" ht="15.75" x14ac:dyDescent="0.25">
      <c r="B36" s="266"/>
      <c r="C36" s="108"/>
      <c r="D36" s="255"/>
      <c r="E36" s="253"/>
      <c r="F36" s="203"/>
      <c r="H36" s="290" t="s">
        <v>616</v>
      </c>
      <c r="I36" s="291">
        <v>50</v>
      </c>
      <c r="J36" s="325" t="s">
        <v>12</v>
      </c>
      <c r="K36" s="320">
        <v>2.4</v>
      </c>
      <c r="L36" s="222">
        <f>I36*K36</f>
        <v>120</v>
      </c>
      <c r="N36" s="266"/>
      <c r="O36" s="108"/>
      <c r="P36" s="255"/>
      <c r="Q36" s="253"/>
      <c r="R36" s="203">
        <f t="shared" si="8"/>
        <v>0</v>
      </c>
    </row>
    <row r="37" spans="2:18" ht="15" x14ac:dyDescent="0.25">
      <c r="B37" s="216" t="s">
        <v>512</v>
      </c>
      <c r="C37" s="217"/>
      <c r="D37" s="217"/>
      <c r="E37" s="217"/>
      <c r="F37" s="218"/>
      <c r="H37" s="289"/>
      <c r="I37" s="289"/>
      <c r="J37" s="289"/>
      <c r="K37" s="289"/>
      <c r="L37" s="289"/>
      <c r="N37" s="216" t="s">
        <v>512</v>
      </c>
      <c r="O37" s="217"/>
      <c r="P37" s="217"/>
      <c r="Q37" s="217"/>
      <c r="R37" s="218"/>
    </row>
    <row r="38" spans="2:18" ht="15" x14ac:dyDescent="0.25">
      <c r="B38" s="219"/>
      <c r="C38" s="220"/>
      <c r="D38" s="221"/>
      <c r="E38" s="221"/>
      <c r="F38" s="222">
        <f>C38*140</f>
        <v>0</v>
      </c>
      <c r="H38" s="289"/>
      <c r="I38" s="289"/>
      <c r="J38" s="289"/>
      <c r="K38" s="289"/>
      <c r="L38" s="289"/>
      <c r="N38" s="219"/>
      <c r="O38" s="220"/>
      <c r="P38" s="221"/>
      <c r="Q38" s="221"/>
      <c r="R38" s="222">
        <f>O38*140</f>
        <v>0</v>
      </c>
    </row>
    <row r="39" spans="2:18" ht="15" x14ac:dyDescent="0.25">
      <c r="B39" s="219"/>
      <c r="C39" s="220"/>
      <c r="D39" s="221"/>
      <c r="E39" s="221"/>
      <c r="F39" s="222">
        <f t="shared" ref="F39:F40" si="9">C39*140</f>
        <v>0</v>
      </c>
      <c r="H39" s="289"/>
      <c r="I39" s="289"/>
      <c r="J39" s="289"/>
      <c r="K39" s="289"/>
      <c r="L39" s="289"/>
      <c r="N39" s="219"/>
      <c r="O39" s="220"/>
      <c r="P39" s="221"/>
      <c r="Q39" s="221"/>
      <c r="R39" s="222">
        <f t="shared" ref="R39:R40" si="10">O39*140</f>
        <v>0</v>
      </c>
    </row>
    <row r="40" spans="2:18" ht="15" x14ac:dyDescent="0.25">
      <c r="B40" s="219"/>
      <c r="C40" s="220"/>
      <c r="D40" s="221"/>
      <c r="E40" s="221"/>
      <c r="F40" s="222">
        <f t="shared" si="9"/>
        <v>0</v>
      </c>
      <c r="H40" s="329"/>
      <c r="I40" s="289"/>
      <c r="J40" s="289"/>
      <c r="K40" s="289"/>
      <c r="L40" s="330"/>
      <c r="N40" s="219"/>
      <c r="O40" s="220"/>
      <c r="P40" s="221"/>
      <c r="Q40" s="221"/>
      <c r="R40" s="222">
        <f t="shared" si="10"/>
        <v>0</v>
      </c>
    </row>
    <row r="41" spans="2:18" ht="15" x14ac:dyDescent="0.25">
      <c r="B41" s="357" t="s">
        <v>510</v>
      </c>
      <c r="C41" s="358"/>
      <c r="D41" s="358"/>
      <c r="E41" s="358"/>
      <c r="F41" s="359"/>
      <c r="H41" s="357" t="s">
        <v>510</v>
      </c>
      <c r="I41" s="358"/>
      <c r="J41" s="358"/>
      <c r="K41" s="358"/>
      <c r="L41" s="359"/>
      <c r="N41" s="357" t="s">
        <v>510</v>
      </c>
      <c r="O41" s="358"/>
      <c r="P41" s="358"/>
      <c r="Q41" s="358"/>
      <c r="R41" s="359"/>
    </row>
    <row r="42" spans="2:18" ht="15" x14ac:dyDescent="0.25">
      <c r="B42" s="219" t="s">
        <v>511</v>
      </c>
      <c r="C42" s="223"/>
      <c r="D42" s="223"/>
      <c r="E42" s="224"/>
      <c r="F42" s="225">
        <f>(F27+F28+F29+F30+F31+F32+F33+F34+F36+F40)</f>
        <v>1130</v>
      </c>
      <c r="H42" s="219" t="s">
        <v>511</v>
      </c>
      <c r="I42" s="223"/>
      <c r="J42" s="223"/>
      <c r="K42" s="224"/>
      <c r="L42" s="225">
        <f>(L27+L28+L29+L30+L31+L32+L33+L34+L36+L40)</f>
        <v>133660.6</v>
      </c>
      <c r="N42" s="219" t="s">
        <v>511</v>
      </c>
      <c r="O42" s="223"/>
      <c r="P42" s="223"/>
      <c r="Q42" s="224"/>
      <c r="R42" s="225">
        <f>(R27+R28+R29+R30+R31+R32+R33+R34+R36+R40)</f>
        <v>2296</v>
      </c>
    </row>
    <row r="43" spans="2:18" ht="15" x14ac:dyDescent="0.25">
      <c r="B43" s="226" t="s">
        <v>17</v>
      </c>
      <c r="C43" s="223"/>
      <c r="D43" s="223"/>
      <c r="E43" s="224"/>
      <c r="F43" s="227">
        <f>F42*0.1</f>
        <v>113</v>
      </c>
      <c r="H43" s="226" t="s">
        <v>17</v>
      </c>
      <c r="I43" s="223"/>
      <c r="J43" s="223"/>
      <c r="K43" s="224"/>
      <c r="L43" s="227">
        <f>L42*0.1</f>
        <v>13366.060000000001</v>
      </c>
      <c r="N43" s="226" t="s">
        <v>17</v>
      </c>
      <c r="O43" s="223"/>
      <c r="P43" s="223"/>
      <c r="Q43" s="224"/>
      <c r="R43" s="227">
        <f>R42*0.1</f>
        <v>229.60000000000002</v>
      </c>
    </row>
    <row r="44" spans="2:18" ht="15" x14ac:dyDescent="0.25">
      <c r="B44" s="226" t="s">
        <v>18</v>
      </c>
      <c r="C44" s="223"/>
      <c r="D44" s="223"/>
      <c r="E44" s="224"/>
      <c r="F44" s="227">
        <f>SUM(F42:F43)</f>
        <v>1243</v>
      </c>
      <c r="H44" s="226" t="s">
        <v>18</v>
      </c>
      <c r="I44" s="223"/>
      <c r="J44" s="223"/>
      <c r="K44" s="224"/>
      <c r="L44" s="227">
        <f>SUM(L42:L43)</f>
        <v>147026.66</v>
      </c>
      <c r="N44" s="226" t="s">
        <v>18</v>
      </c>
      <c r="O44" s="223"/>
      <c r="P44" s="223"/>
      <c r="Q44" s="224"/>
      <c r="R44" s="227">
        <f>SUM(R42:R43)</f>
        <v>2525.6</v>
      </c>
    </row>
    <row r="45" spans="2:18" ht="15" x14ac:dyDescent="0.25">
      <c r="B45" s="219" t="s">
        <v>435</v>
      </c>
      <c r="C45" s="223"/>
      <c r="D45" s="223"/>
      <c r="E45" s="224"/>
      <c r="F45" s="225">
        <v>0</v>
      </c>
      <c r="H45" s="219" t="s">
        <v>435</v>
      </c>
      <c r="I45" s="223"/>
      <c r="J45" s="223"/>
      <c r="K45" s="224"/>
      <c r="L45" s="225"/>
      <c r="N45" s="219" t="s">
        <v>435</v>
      </c>
      <c r="O45" s="223"/>
      <c r="P45" s="223"/>
      <c r="Q45" s="224"/>
      <c r="R45" s="225">
        <v>0</v>
      </c>
    </row>
    <row r="46" spans="2:18" ht="15.75" thickBot="1" x14ac:dyDescent="0.3">
      <c r="B46" s="228"/>
      <c r="C46" s="229"/>
      <c r="D46" s="229"/>
      <c r="E46" s="229">
        <v>125</v>
      </c>
      <c r="F46" s="230">
        <f>F44/E46</f>
        <v>9.9440000000000008</v>
      </c>
      <c r="H46" s="228"/>
      <c r="I46" s="229"/>
      <c r="J46" s="229"/>
      <c r="K46" s="229">
        <v>2480</v>
      </c>
      <c r="L46" s="323">
        <f>L44/K46</f>
        <v>59.284943548387098</v>
      </c>
      <c r="N46" s="228"/>
      <c r="O46" s="229"/>
      <c r="P46" s="229"/>
      <c r="Q46" s="229">
        <v>250</v>
      </c>
      <c r="R46" s="230">
        <f>R44/Q46</f>
        <v>10.102399999999999</v>
      </c>
    </row>
    <row r="47" spans="2:18" ht="13.5" thickBot="1" x14ac:dyDescent="0.25"/>
    <row r="48" spans="2:18" ht="15" x14ac:dyDescent="0.25">
      <c r="B48" s="354" t="s">
        <v>588</v>
      </c>
      <c r="C48" s="355"/>
      <c r="D48" s="355"/>
      <c r="E48" s="355"/>
      <c r="F48" s="356"/>
      <c r="H48" s="354" t="s">
        <v>652</v>
      </c>
      <c r="I48" s="355"/>
      <c r="J48" s="355"/>
      <c r="K48" s="355"/>
      <c r="L48" s="356"/>
      <c r="N48" s="354" t="s">
        <v>658</v>
      </c>
      <c r="O48" s="355"/>
      <c r="P48" s="355"/>
      <c r="Q48" s="355"/>
      <c r="R48" s="356"/>
    </row>
    <row r="49" spans="2:18" ht="15.75" thickBot="1" x14ac:dyDescent="0.3">
      <c r="B49" s="197" t="s">
        <v>3</v>
      </c>
      <c r="C49" s="197" t="s">
        <v>507</v>
      </c>
      <c r="D49" s="197" t="s">
        <v>508</v>
      </c>
      <c r="E49" s="197" t="s">
        <v>513</v>
      </c>
      <c r="F49" s="256" t="s">
        <v>509</v>
      </c>
      <c r="H49" s="197" t="s">
        <v>3</v>
      </c>
      <c r="I49" s="197" t="s">
        <v>507</v>
      </c>
      <c r="J49" s="197" t="s">
        <v>508</v>
      </c>
      <c r="K49" s="197" t="s">
        <v>513</v>
      </c>
      <c r="L49" s="256" t="s">
        <v>509</v>
      </c>
      <c r="N49" s="197" t="s">
        <v>3</v>
      </c>
      <c r="O49" s="197" t="s">
        <v>507</v>
      </c>
      <c r="P49" s="197" t="s">
        <v>508</v>
      </c>
      <c r="Q49" s="197" t="s">
        <v>513</v>
      </c>
      <c r="R49" s="256" t="s">
        <v>509</v>
      </c>
    </row>
    <row r="50" spans="2:18" ht="15.75" x14ac:dyDescent="0.25">
      <c r="B50" s="257" t="s">
        <v>651</v>
      </c>
      <c r="C50" s="258">
        <v>250</v>
      </c>
      <c r="D50" s="259" t="s">
        <v>12</v>
      </c>
      <c r="E50" s="260">
        <v>25.4</v>
      </c>
      <c r="F50" s="261">
        <f>C50*E50</f>
        <v>6350</v>
      </c>
      <c r="H50" s="257" t="s">
        <v>657</v>
      </c>
      <c r="I50" s="258">
        <v>450</v>
      </c>
      <c r="J50" s="259" t="s">
        <v>12</v>
      </c>
      <c r="K50" s="260">
        <v>9.98</v>
      </c>
      <c r="L50" s="261">
        <f>I50*K50</f>
        <v>4491</v>
      </c>
      <c r="N50" s="257" t="s">
        <v>659</v>
      </c>
      <c r="O50" s="258">
        <v>500</v>
      </c>
      <c r="P50" s="259" t="s">
        <v>12</v>
      </c>
      <c r="Q50" s="260">
        <v>19.899999999999999</v>
      </c>
      <c r="R50" s="261">
        <f>O50*Q50</f>
        <v>9950</v>
      </c>
    </row>
    <row r="51" spans="2:18" ht="15" x14ac:dyDescent="0.25">
      <c r="B51" s="262" t="s">
        <v>646</v>
      </c>
      <c r="C51" s="108">
        <v>11.4</v>
      </c>
      <c r="D51" s="254" t="s">
        <v>12</v>
      </c>
      <c r="E51" s="320">
        <v>4.4000000000000004</v>
      </c>
      <c r="F51" s="203">
        <f t="shared" ref="F51:F58" si="11">C51*E51</f>
        <v>50.160000000000004</v>
      </c>
      <c r="H51" s="262" t="s">
        <v>656</v>
      </c>
      <c r="I51" s="108">
        <v>3.25</v>
      </c>
      <c r="J51" s="254" t="s">
        <v>12</v>
      </c>
      <c r="K51" s="253">
        <v>15</v>
      </c>
      <c r="L51" s="203">
        <f t="shared" ref="L51:L58" si="12">I51*K51</f>
        <v>48.75</v>
      </c>
      <c r="N51" s="262" t="s">
        <v>648</v>
      </c>
      <c r="O51" s="108">
        <v>11.25</v>
      </c>
      <c r="P51" s="254" t="s">
        <v>12</v>
      </c>
      <c r="Q51" s="253">
        <v>15</v>
      </c>
      <c r="R51" s="203">
        <f t="shared" ref="R51:R58" si="13">O51*Q51</f>
        <v>168.75</v>
      </c>
    </row>
    <row r="52" spans="2:18" ht="15" x14ac:dyDescent="0.25">
      <c r="B52" s="262" t="s">
        <v>650</v>
      </c>
      <c r="C52" s="108">
        <v>7</v>
      </c>
      <c r="D52" s="254" t="s">
        <v>12</v>
      </c>
      <c r="E52" s="320">
        <v>2.4</v>
      </c>
      <c r="F52" s="203">
        <f t="shared" si="11"/>
        <v>16.8</v>
      </c>
      <c r="H52" s="262" t="s">
        <v>655</v>
      </c>
      <c r="I52" s="108">
        <v>3.5</v>
      </c>
      <c r="J52" s="254" t="s">
        <v>12</v>
      </c>
      <c r="K52" s="253">
        <v>2</v>
      </c>
      <c r="L52" s="203">
        <f t="shared" si="12"/>
        <v>7</v>
      </c>
      <c r="N52" s="262" t="s">
        <v>660</v>
      </c>
      <c r="O52" s="108">
        <v>20</v>
      </c>
      <c r="P52" s="254" t="s">
        <v>12</v>
      </c>
      <c r="Q52" s="320">
        <v>3.8</v>
      </c>
      <c r="R52" s="203">
        <f t="shared" si="13"/>
        <v>76</v>
      </c>
    </row>
    <row r="53" spans="2:18" ht="15" x14ac:dyDescent="0.25">
      <c r="B53" s="262" t="s">
        <v>647</v>
      </c>
      <c r="C53" s="108">
        <v>8.5</v>
      </c>
      <c r="D53" s="254" t="s">
        <v>12</v>
      </c>
      <c r="E53" s="253">
        <v>48</v>
      </c>
      <c r="F53" s="203">
        <f t="shared" si="11"/>
        <v>408</v>
      </c>
      <c r="H53" s="262" t="s">
        <v>616</v>
      </c>
      <c r="I53" s="108">
        <v>4.25</v>
      </c>
      <c r="J53" s="254" t="s">
        <v>12</v>
      </c>
      <c r="K53" s="320">
        <v>2.4</v>
      </c>
      <c r="L53" s="203">
        <f t="shared" si="12"/>
        <v>10.199999999999999</v>
      </c>
      <c r="N53" s="262" t="s">
        <v>594</v>
      </c>
      <c r="O53" s="108">
        <v>1.25</v>
      </c>
      <c r="P53" s="254" t="s">
        <v>12</v>
      </c>
      <c r="Q53" s="292">
        <v>45</v>
      </c>
      <c r="R53" s="203">
        <f t="shared" si="13"/>
        <v>56.25</v>
      </c>
    </row>
    <row r="54" spans="2:18" ht="15" x14ac:dyDescent="0.25">
      <c r="B54" s="262" t="s">
        <v>649</v>
      </c>
      <c r="C54" s="108">
        <v>0.5</v>
      </c>
      <c r="D54" s="254" t="s">
        <v>59</v>
      </c>
      <c r="E54" s="253">
        <v>24</v>
      </c>
      <c r="F54" s="203">
        <f t="shared" si="11"/>
        <v>12</v>
      </c>
      <c r="H54" s="262" t="s">
        <v>654</v>
      </c>
      <c r="I54" s="108">
        <v>4.75</v>
      </c>
      <c r="J54" s="254" t="s">
        <v>59</v>
      </c>
      <c r="K54" s="253">
        <v>52</v>
      </c>
      <c r="L54" s="203">
        <f t="shared" si="12"/>
        <v>247</v>
      </c>
      <c r="N54" s="262" t="s">
        <v>661</v>
      </c>
      <c r="O54" s="108">
        <v>1.25</v>
      </c>
      <c r="P54" s="254" t="s">
        <v>59</v>
      </c>
      <c r="Q54" s="253">
        <v>52</v>
      </c>
      <c r="R54" s="203">
        <f t="shared" si="13"/>
        <v>65</v>
      </c>
    </row>
    <row r="55" spans="2:18" ht="15" x14ac:dyDescent="0.25">
      <c r="B55" s="262" t="s">
        <v>648</v>
      </c>
      <c r="C55" s="108">
        <v>1.4</v>
      </c>
      <c r="D55" s="254" t="s">
        <v>59</v>
      </c>
      <c r="E55" s="253">
        <v>15</v>
      </c>
      <c r="F55" s="203">
        <f t="shared" si="11"/>
        <v>21</v>
      </c>
      <c r="H55" s="262" t="s">
        <v>653</v>
      </c>
      <c r="I55" s="108">
        <v>5.25</v>
      </c>
      <c r="J55" s="254" t="s">
        <v>59</v>
      </c>
      <c r="K55" s="253">
        <v>19.5</v>
      </c>
      <c r="L55" s="203">
        <f t="shared" si="12"/>
        <v>102.375</v>
      </c>
      <c r="N55" s="262" t="s">
        <v>662</v>
      </c>
      <c r="O55" s="108">
        <v>15</v>
      </c>
      <c r="P55" s="254" t="s">
        <v>59</v>
      </c>
      <c r="Q55" s="320">
        <v>3.99</v>
      </c>
      <c r="R55" s="203">
        <f t="shared" si="13"/>
        <v>59.85</v>
      </c>
    </row>
    <row r="56" spans="2:18" ht="15.75" x14ac:dyDescent="0.25">
      <c r="B56" s="262"/>
      <c r="C56" s="108"/>
      <c r="D56" s="255" t="s">
        <v>12</v>
      </c>
      <c r="E56" s="253"/>
      <c r="F56" s="203">
        <f t="shared" si="11"/>
        <v>0</v>
      </c>
      <c r="H56" s="262"/>
      <c r="I56" s="108"/>
      <c r="J56" s="255" t="s">
        <v>12</v>
      </c>
      <c r="K56" s="253"/>
      <c r="L56" s="203">
        <f t="shared" si="12"/>
        <v>0</v>
      </c>
      <c r="N56" s="262" t="s">
        <v>647</v>
      </c>
      <c r="O56" s="108">
        <v>0.6</v>
      </c>
      <c r="P56" s="255" t="s">
        <v>12</v>
      </c>
      <c r="Q56" s="253">
        <v>48</v>
      </c>
      <c r="R56" s="203">
        <f t="shared" si="13"/>
        <v>28.799999999999997</v>
      </c>
    </row>
    <row r="57" spans="2:18" ht="15.75" x14ac:dyDescent="0.25">
      <c r="B57" s="265"/>
      <c r="C57" s="108"/>
      <c r="D57" s="255"/>
      <c r="E57" s="253"/>
      <c r="F57" s="203">
        <f t="shared" si="11"/>
        <v>0</v>
      </c>
      <c r="H57" s="265"/>
      <c r="I57" s="108"/>
      <c r="J57" s="255"/>
      <c r="K57" s="253"/>
      <c r="L57" s="203">
        <f t="shared" si="12"/>
        <v>0</v>
      </c>
      <c r="N57" s="265" t="s">
        <v>663</v>
      </c>
      <c r="O57" s="108">
        <v>15</v>
      </c>
      <c r="P57" s="255" t="s">
        <v>12</v>
      </c>
      <c r="Q57" s="253">
        <v>32</v>
      </c>
      <c r="R57" s="203">
        <f t="shared" si="13"/>
        <v>480</v>
      </c>
    </row>
    <row r="58" spans="2:18" ht="15.75" x14ac:dyDescent="0.25">
      <c r="B58" s="266"/>
      <c r="C58" s="108"/>
      <c r="D58" s="255"/>
      <c r="E58" s="253"/>
      <c r="F58" s="203">
        <f t="shared" si="11"/>
        <v>0</v>
      </c>
      <c r="H58" s="266"/>
      <c r="I58" s="108"/>
      <c r="J58" s="255"/>
      <c r="K58" s="253"/>
      <c r="L58" s="203">
        <f t="shared" si="12"/>
        <v>0</v>
      </c>
      <c r="N58" s="266" t="s">
        <v>649</v>
      </c>
      <c r="O58" s="108">
        <v>1.25</v>
      </c>
      <c r="P58" s="255" t="s">
        <v>12</v>
      </c>
      <c r="Q58" s="253">
        <v>24</v>
      </c>
      <c r="R58" s="203">
        <f t="shared" si="13"/>
        <v>30</v>
      </c>
    </row>
    <row r="59" spans="2:18" ht="15.75" x14ac:dyDescent="0.25">
      <c r="B59" s="216" t="s">
        <v>512</v>
      </c>
      <c r="C59" s="217"/>
      <c r="D59" s="217"/>
      <c r="E59" s="217"/>
      <c r="F59" s="218"/>
      <c r="H59" s="216" t="s">
        <v>512</v>
      </c>
      <c r="I59" s="217"/>
      <c r="J59" s="217"/>
      <c r="K59" s="217"/>
      <c r="L59" s="218"/>
      <c r="N59" s="262" t="s">
        <v>616</v>
      </c>
      <c r="O59" s="108">
        <v>6.25</v>
      </c>
      <c r="P59" s="255" t="s">
        <v>12</v>
      </c>
      <c r="Q59" s="320">
        <v>2.4</v>
      </c>
      <c r="R59" s="203">
        <f t="shared" ref="R59" si="14">O59*Q59</f>
        <v>15</v>
      </c>
    </row>
    <row r="60" spans="2:18" ht="15" x14ac:dyDescent="0.25">
      <c r="B60" s="219"/>
      <c r="C60" s="220"/>
      <c r="D60" s="221"/>
      <c r="E60" s="221"/>
      <c r="F60" s="222">
        <f>C60*140</f>
        <v>0</v>
      </c>
      <c r="H60" s="219"/>
      <c r="I60" s="220"/>
      <c r="J60" s="221"/>
      <c r="K60" s="221"/>
      <c r="L60" s="222">
        <f>I60*140</f>
        <v>0</v>
      </c>
      <c r="N60" s="219"/>
      <c r="O60" s="220"/>
      <c r="P60" s="221"/>
      <c r="Q60" s="221"/>
      <c r="R60" s="222">
        <f>O60*140</f>
        <v>0</v>
      </c>
    </row>
    <row r="61" spans="2:18" ht="15" x14ac:dyDescent="0.25">
      <c r="B61" s="219"/>
      <c r="C61" s="220"/>
      <c r="D61" s="221"/>
      <c r="E61" s="221"/>
      <c r="F61" s="222">
        <f t="shared" ref="F61:F62" si="15">C61*140</f>
        <v>0</v>
      </c>
      <c r="H61" s="219"/>
      <c r="I61" s="220"/>
      <c r="J61" s="221"/>
      <c r="K61" s="221"/>
      <c r="L61" s="222">
        <f t="shared" ref="L61:L62" si="16">I61*140</f>
        <v>0</v>
      </c>
      <c r="N61" s="219"/>
      <c r="O61" s="220"/>
      <c r="P61" s="221"/>
      <c r="Q61" s="221"/>
      <c r="R61" s="222">
        <f t="shared" ref="R61:R62" si="17">O61*140</f>
        <v>0</v>
      </c>
    </row>
    <row r="62" spans="2:18" ht="15" x14ac:dyDescent="0.25">
      <c r="B62" s="219"/>
      <c r="C62" s="220"/>
      <c r="D62" s="221"/>
      <c r="E62" s="221"/>
      <c r="F62" s="222">
        <f t="shared" si="15"/>
        <v>0</v>
      </c>
      <c r="H62" s="219"/>
      <c r="I62" s="220"/>
      <c r="J62" s="221"/>
      <c r="K62" s="221"/>
      <c r="L62" s="222">
        <f t="shared" si="16"/>
        <v>0</v>
      </c>
      <c r="N62" s="219"/>
      <c r="O62" s="220"/>
      <c r="P62" s="221"/>
      <c r="Q62" s="221"/>
      <c r="R62" s="222">
        <f t="shared" si="17"/>
        <v>0</v>
      </c>
    </row>
    <row r="63" spans="2:18" ht="15" x14ac:dyDescent="0.25">
      <c r="B63" s="357" t="s">
        <v>510</v>
      </c>
      <c r="C63" s="358"/>
      <c r="D63" s="358"/>
      <c r="E63" s="358"/>
      <c r="F63" s="359"/>
      <c r="H63" s="357" t="s">
        <v>510</v>
      </c>
      <c r="I63" s="358"/>
      <c r="J63" s="358"/>
      <c r="K63" s="358"/>
      <c r="L63" s="359"/>
      <c r="N63" s="357" t="s">
        <v>510</v>
      </c>
      <c r="O63" s="358"/>
      <c r="P63" s="358"/>
      <c r="Q63" s="358"/>
      <c r="R63" s="359"/>
    </row>
    <row r="64" spans="2:18" ht="15" x14ac:dyDescent="0.25">
      <c r="B64" s="219" t="s">
        <v>511</v>
      </c>
      <c r="C64" s="223"/>
      <c r="D64" s="223"/>
      <c r="E64" s="224"/>
      <c r="F64" s="225">
        <f>(F50+F51+F52+F53+F54+F55+F56+F57+F58+F62)</f>
        <v>6857.96</v>
      </c>
      <c r="H64" s="219" t="s">
        <v>511</v>
      </c>
      <c r="I64" s="223"/>
      <c r="J64" s="223"/>
      <c r="K64" s="224"/>
      <c r="L64" s="225">
        <f>(L50+L51+L52+L53+L54+L55+L56+L57+L58+L62)</f>
        <v>4906.3249999999998</v>
      </c>
      <c r="N64" s="219" t="s">
        <v>511</v>
      </c>
      <c r="O64" s="223"/>
      <c r="P64" s="223"/>
      <c r="Q64" s="224"/>
      <c r="R64" s="225">
        <f>(R50+R51+R52+R53+R54+R55+R56+R57+R58+R59+R62)</f>
        <v>10929.65</v>
      </c>
    </row>
    <row r="65" spans="2:18" ht="15" x14ac:dyDescent="0.25">
      <c r="B65" s="226" t="s">
        <v>17</v>
      </c>
      <c r="C65" s="223"/>
      <c r="D65" s="223"/>
      <c r="E65" s="224"/>
      <c r="F65" s="227">
        <f>F64*0.1</f>
        <v>685.79600000000005</v>
      </c>
      <c r="H65" s="226" t="s">
        <v>17</v>
      </c>
      <c r="I65" s="223"/>
      <c r="J65" s="223"/>
      <c r="K65" s="224"/>
      <c r="L65" s="227">
        <f>L64*0.1</f>
        <v>490.63249999999999</v>
      </c>
      <c r="N65" s="226" t="s">
        <v>17</v>
      </c>
      <c r="O65" s="223"/>
      <c r="P65" s="223"/>
      <c r="Q65" s="224"/>
      <c r="R65" s="227">
        <f>R64*0.1</f>
        <v>1092.9649999999999</v>
      </c>
    </row>
    <row r="66" spans="2:18" ht="15" x14ac:dyDescent="0.25">
      <c r="B66" s="226" t="s">
        <v>18</v>
      </c>
      <c r="C66" s="223"/>
      <c r="D66" s="223"/>
      <c r="E66" s="224"/>
      <c r="F66" s="227">
        <f>SUM(F64:F65)</f>
        <v>7543.7560000000003</v>
      </c>
      <c r="H66" s="226" t="s">
        <v>18</v>
      </c>
      <c r="I66" s="223"/>
      <c r="J66" s="223"/>
      <c r="K66" s="224"/>
      <c r="L66" s="227">
        <f>SUM(L64:L65)</f>
        <v>5396.9574999999995</v>
      </c>
      <c r="N66" s="226" t="s">
        <v>18</v>
      </c>
      <c r="O66" s="223"/>
      <c r="P66" s="223"/>
      <c r="Q66" s="224"/>
      <c r="R66" s="227">
        <f>SUM(R64:R65)</f>
        <v>12022.615</v>
      </c>
    </row>
    <row r="67" spans="2:18" ht="15" x14ac:dyDescent="0.25">
      <c r="B67" s="219" t="s">
        <v>435</v>
      </c>
      <c r="C67" s="223"/>
      <c r="D67" s="223"/>
      <c r="E67" s="224"/>
      <c r="F67" s="225">
        <v>0</v>
      </c>
      <c r="H67" s="219" t="s">
        <v>435</v>
      </c>
      <c r="I67" s="223"/>
      <c r="J67" s="223"/>
      <c r="K67" s="224"/>
      <c r="L67" s="225">
        <v>0</v>
      </c>
      <c r="N67" s="219" t="s">
        <v>435</v>
      </c>
      <c r="O67" s="223"/>
      <c r="P67" s="223"/>
      <c r="Q67" s="224"/>
      <c r="R67" s="225">
        <v>0</v>
      </c>
    </row>
    <row r="68" spans="2:18" ht="15.75" thickBot="1" x14ac:dyDescent="0.3">
      <c r="B68" s="228"/>
      <c r="C68" s="229"/>
      <c r="D68" s="229"/>
      <c r="E68" s="229">
        <v>280</v>
      </c>
      <c r="F68" s="323">
        <f>F66/E68</f>
        <v>26.941985714285714</v>
      </c>
      <c r="H68" s="228"/>
      <c r="I68" s="229"/>
      <c r="J68" s="229"/>
      <c r="K68" s="229">
        <v>471</v>
      </c>
      <c r="L68" s="323">
        <f>L66/K68</f>
        <v>11.458508492569001</v>
      </c>
      <c r="N68" s="228"/>
      <c r="O68" s="229"/>
      <c r="P68" s="229"/>
      <c r="Q68" s="229">
        <v>572</v>
      </c>
      <c r="R68" s="323">
        <f>R66/Q68</f>
        <v>21.018557692307692</v>
      </c>
    </row>
    <row r="69" spans="2:18" ht="13.5" thickBot="1" x14ac:dyDescent="0.25"/>
    <row r="70" spans="2:18" ht="15" x14ac:dyDescent="0.25">
      <c r="B70" s="354" t="s">
        <v>664</v>
      </c>
      <c r="C70" s="355"/>
      <c r="D70" s="355"/>
      <c r="E70" s="355"/>
      <c r="F70" s="356"/>
      <c r="H70" s="354" t="s">
        <v>671</v>
      </c>
      <c r="I70" s="355"/>
      <c r="J70" s="355"/>
      <c r="K70" s="355"/>
      <c r="L70" s="356"/>
      <c r="N70" s="354" t="s">
        <v>676</v>
      </c>
      <c r="O70" s="355"/>
      <c r="P70" s="355"/>
      <c r="Q70" s="355"/>
      <c r="R70" s="356"/>
    </row>
    <row r="71" spans="2:18" ht="15.75" thickBot="1" x14ac:dyDescent="0.3">
      <c r="B71" s="197" t="s">
        <v>3</v>
      </c>
      <c r="C71" s="197" t="s">
        <v>507</v>
      </c>
      <c r="D71" s="197" t="s">
        <v>508</v>
      </c>
      <c r="E71" s="197" t="s">
        <v>513</v>
      </c>
      <c r="F71" s="256" t="s">
        <v>509</v>
      </c>
      <c r="H71" s="197" t="s">
        <v>3</v>
      </c>
      <c r="I71" s="197" t="s">
        <v>507</v>
      </c>
      <c r="J71" s="197" t="s">
        <v>508</v>
      </c>
      <c r="K71" s="197" t="s">
        <v>513</v>
      </c>
      <c r="L71" s="256" t="s">
        <v>509</v>
      </c>
      <c r="N71" s="197" t="s">
        <v>3</v>
      </c>
      <c r="O71" s="197" t="s">
        <v>507</v>
      </c>
      <c r="P71" s="197" t="s">
        <v>508</v>
      </c>
      <c r="Q71" s="197" t="s">
        <v>513</v>
      </c>
      <c r="R71" s="256" t="s">
        <v>509</v>
      </c>
    </row>
    <row r="72" spans="2:18" ht="15.75" x14ac:dyDescent="0.25">
      <c r="B72" s="257" t="s">
        <v>118</v>
      </c>
      <c r="C72" s="258">
        <v>1300</v>
      </c>
      <c r="D72" s="259" t="s">
        <v>12</v>
      </c>
      <c r="E72" s="321">
        <v>22.8</v>
      </c>
      <c r="F72" s="261">
        <f>C72*E72</f>
        <v>29640</v>
      </c>
      <c r="H72" s="257" t="s">
        <v>704</v>
      </c>
      <c r="I72" s="258">
        <v>50</v>
      </c>
      <c r="J72" s="259" t="s">
        <v>12</v>
      </c>
      <c r="K72" s="295">
        <v>8.27</v>
      </c>
      <c r="L72" s="261">
        <f>I72*K72</f>
        <v>413.5</v>
      </c>
      <c r="N72" s="257" t="s">
        <v>677</v>
      </c>
      <c r="O72" s="258">
        <v>180</v>
      </c>
      <c r="P72" s="259" t="s">
        <v>12</v>
      </c>
      <c r="Q72" s="321">
        <v>37.479999999999997</v>
      </c>
      <c r="R72" s="261">
        <f>O72*Q72</f>
        <v>6746.4</v>
      </c>
    </row>
    <row r="73" spans="2:18" ht="15" x14ac:dyDescent="0.25">
      <c r="B73" s="262" t="s">
        <v>670</v>
      </c>
      <c r="C73" s="108">
        <v>10</v>
      </c>
      <c r="D73" s="254" t="s">
        <v>12</v>
      </c>
      <c r="E73" s="253">
        <v>93.3</v>
      </c>
      <c r="F73" s="203">
        <f t="shared" ref="F73:F80" si="18">C73*E73</f>
        <v>933</v>
      </c>
      <c r="H73" s="262" t="s">
        <v>40</v>
      </c>
      <c r="I73" s="108">
        <v>10</v>
      </c>
      <c r="J73" s="254" t="s">
        <v>12</v>
      </c>
      <c r="K73" s="320">
        <v>2.4</v>
      </c>
      <c r="L73" s="203">
        <f t="shared" ref="L73:L80" si="19">I73*K73</f>
        <v>24</v>
      </c>
      <c r="N73" s="262" t="s">
        <v>678</v>
      </c>
      <c r="O73" s="108">
        <v>20</v>
      </c>
      <c r="P73" s="254" t="s">
        <v>12</v>
      </c>
      <c r="Q73" s="320">
        <v>31.4</v>
      </c>
      <c r="R73" s="203">
        <f t="shared" ref="R73:R80" si="20">O73*Q73</f>
        <v>628</v>
      </c>
    </row>
    <row r="74" spans="2:18" ht="15" x14ac:dyDescent="0.25">
      <c r="B74" s="262" t="s">
        <v>649</v>
      </c>
      <c r="C74" s="108">
        <v>5</v>
      </c>
      <c r="D74" s="254" t="s">
        <v>12</v>
      </c>
      <c r="E74" s="253">
        <v>24</v>
      </c>
      <c r="F74" s="203">
        <f t="shared" si="18"/>
        <v>120</v>
      </c>
      <c r="H74" s="262" t="s">
        <v>675</v>
      </c>
      <c r="I74" s="108">
        <v>14</v>
      </c>
      <c r="J74" s="254" t="s">
        <v>12</v>
      </c>
      <c r="K74" s="253">
        <v>23.8</v>
      </c>
      <c r="L74" s="203">
        <f t="shared" si="19"/>
        <v>333.2</v>
      </c>
      <c r="N74" s="262" t="s">
        <v>679</v>
      </c>
      <c r="O74" s="108">
        <v>100</v>
      </c>
      <c r="P74" s="254" t="s">
        <v>12</v>
      </c>
      <c r="Q74" s="253">
        <v>21.1</v>
      </c>
      <c r="R74" s="203">
        <f t="shared" si="20"/>
        <v>2110</v>
      </c>
    </row>
    <row r="75" spans="2:18" ht="15" x14ac:dyDescent="0.25">
      <c r="B75" s="262" t="s">
        <v>669</v>
      </c>
      <c r="C75" s="108">
        <v>10</v>
      </c>
      <c r="D75" s="254" t="s">
        <v>12</v>
      </c>
      <c r="E75" s="253">
        <v>48</v>
      </c>
      <c r="F75" s="203">
        <f t="shared" si="18"/>
        <v>480</v>
      </c>
      <c r="H75" s="262" t="s">
        <v>674</v>
      </c>
      <c r="I75" s="108">
        <v>30</v>
      </c>
      <c r="J75" s="254" t="s">
        <v>12</v>
      </c>
      <c r="K75" s="320">
        <v>4.4000000000000004</v>
      </c>
      <c r="L75" s="203">
        <f t="shared" si="19"/>
        <v>132</v>
      </c>
      <c r="N75" s="262" t="s">
        <v>707</v>
      </c>
      <c r="O75" s="108">
        <v>50</v>
      </c>
      <c r="P75" s="254" t="s">
        <v>12</v>
      </c>
      <c r="Q75" s="253">
        <v>4.4000000000000004</v>
      </c>
      <c r="R75" s="203">
        <f t="shared" si="20"/>
        <v>220.00000000000003</v>
      </c>
    </row>
    <row r="76" spans="2:18" ht="15" x14ac:dyDescent="0.25">
      <c r="B76" s="262" t="s">
        <v>668</v>
      </c>
      <c r="C76" s="108">
        <v>80</v>
      </c>
      <c r="D76" s="254" t="s">
        <v>59</v>
      </c>
      <c r="E76" s="253">
        <v>7.98</v>
      </c>
      <c r="F76" s="203">
        <f t="shared" si="18"/>
        <v>638.40000000000009</v>
      </c>
      <c r="H76" s="262" t="s">
        <v>673</v>
      </c>
      <c r="I76" s="108">
        <v>30</v>
      </c>
      <c r="J76" s="254" t="s">
        <v>59</v>
      </c>
      <c r="K76" s="295">
        <v>5.04</v>
      </c>
      <c r="L76" s="203">
        <f t="shared" si="19"/>
        <v>151.19999999999999</v>
      </c>
      <c r="N76" s="262"/>
      <c r="O76" s="108"/>
      <c r="P76" s="254"/>
      <c r="Q76" s="253"/>
      <c r="R76" s="203">
        <f t="shared" si="20"/>
        <v>0</v>
      </c>
    </row>
    <row r="77" spans="2:18" ht="15" x14ac:dyDescent="0.25">
      <c r="B77" s="262" t="s">
        <v>667</v>
      </c>
      <c r="C77" s="108">
        <v>5</v>
      </c>
      <c r="D77" s="254" t="s">
        <v>59</v>
      </c>
      <c r="E77" s="253">
        <v>52</v>
      </c>
      <c r="F77" s="203">
        <f t="shared" si="18"/>
        <v>260</v>
      </c>
      <c r="H77" s="262" t="s">
        <v>672</v>
      </c>
      <c r="I77" s="108">
        <v>400</v>
      </c>
      <c r="J77" s="254" t="s">
        <v>59</v>
      </c>
      <c r="K77" s="320">
        <v>3.61</v>
      </c>
      <c r="L77" s="203">
        <f t="shared" si="19"/>
        <v>1444</v>
      </c>
      <c r="N77" s="262"/>
      <c r="O77" s="108"/>
      <c r="P77" s="254"/>
      <c r="Q77" s="253"/>
      <c r="R77" s="203">
        <f t="shared" si="20"/>
        <v>0</v>
      </c>
    </row>
    <row r="78" spans="2:18" ht="15.75" x14ac:dyDescent="0.25">
      <c r="B78" s="262" t="s">
        <v>666</v>
      </c>
      <c r="C78" s="108">
        <v>40</v>
      </c>
      <c r="D78" s="255" t="s">
        <v>12</v>
      </c>
      <c r="E78" s="320">
        <v>2.4</v>
      </c>
      <c r="F78" s="203">
        <f t="shared" si="18"/>
        <v>96</v>
      </c>
      <c r="H78" s="262"/>
      <c r="I78" s="108"/>
      <c r="J78" s="255" t="s">
        <v>12</v>
      </c>
      <c r="K78" s="253"/>
      <c r="L78" s="203">
        <f t="shared" si="19"/>
        <v>0</v>
      </c>
      <c r="N78" s="262"/>
      <c r="O78" s="108"/>
      <c r="P78" s="255"/>
      <c r="Q78" s="253"/>
      <c r="R78" s="203">
        <f t="shared" si="20"/>
        <v>0</v>
      </c>
    </row>
    <row r="79" spans="2:18" ht="15.75" x14ac:dyDescent="0.25">
      <c r="B79" s="265" t="s">
        <v>665</v>
      </c>
      <c r="C79" s="108">
        <v>200</v>
      </c>
      <c r="D79" s="255" t="s">
        <v>12</v>
      </c>
      <c r="E79" s="253">
        <v>4.4000000000000004</v>
      </c>
      <c r="F79" s="203">
        <f t="shared" si="18"/>
        <v>880.00000000000011</v>
      </c>
      <c r="H79" s="265"/>
      <c r="I79" s="108"/>
      <c r="J79" s="255"/>
      <c r="K79" s="253"/>
      <c r="L79" s="203">
        <f t="shared" si="19"/>
        <v>0</v>
      </c>
      <c r="N79" s="265"/>
      <c r="O79" s="108"/>
      <c r="P79" s="255"/>
      <c r="Q79" s="253"/>
      <c r="R79" s="203">
        <f t="shared" si="20"/>
        <v>0</v>
      </c>
    </row>
    <row r="80" spans="2:18" ht="15.75" x14ac:dyDescent="0.25">
      <c r="B80" s="266"/>
      <c r="C80" s="108"/>
      <c r="D80" s="255"/>
      <c r="E80" s="253"/>
      <c r="F80" s="203">
        <f t="shared" si="18"/>
        <v>0</v>
      </c>
      <c r="H80" s="266"/>
      <c r="I80" s="108"/>
      <c r="J80" s="255"/>
      <c r="K80" s="253"/>
      <c r="L80" s="203">
        <f t="shared" si="19"/>
        <v>0</v>
      </c>
      <c r="N80" s="266"/>
      <c r="O80" s="108"/>
      <c r="P80" s="255"/>
      <c r="Q80" s="253"/>
      <c r="R80" s="203">
        <f t="shared" si="20"/>
        <v>0</v>
      </c>
    </row>
    <row r="81" spans="2:18" ht="15" x14ac:dyDescent="0.25">
      <c r="B81" s="216" t="s">
        <v>512</v>
      </c>
      <c r="C81" s="217"/>
      <c r="D81" s="217"/>
      <c r="E81" s="217"/>
      <c r="F81" s="218"/>
      <c r="H81" s="216" t="s">
        <v>512</v>
      </c>
      <c r="I81" s="217"/>
      <c r="J81" s="217"/>
      <c r="K81" s="217"/>
      <c r="L81" s="218"/>
      <c r="N81" s="216" t="s">
        <v>512</v>
      </c>
      <c r="O81" s="217"/>
      <c r="P81" s="217"/>
      <c r="Q81" s="217"/>
      <c r="R81" s="218"/>
    </row>
    <row r="82" spans="2:18" ht="15" x14ac:dyDescent="0.25">
      <c r="B82" s="219"/>
      <c r="C82" s="220"/>
      <c r="D82" s="221"/>
      <c r="E82" s="221"/>
      <c r="F82" s="222">
        <f>C82*140</f>
        <v>0</v>
      </c>
      <c r="H82" s="219"/>
      <c r="I82" s="220"/>
      <c r="J82" s="221"/>
      <c r="K82" s="221"/>
      <c r="L82" s="222">
        <f>I82*140</f>
        <v>0</v>
      </c>
      <c r="N82" s="219"/>
      <c r="O82" s="220"/>
      <c r="P82" s="221"/>
      <c r="Q82" s="221"/>
      <c r="R82" s="222">
        <f>O82*140</f>
        <v>0</v>
      </c>
    </row>
    <row r="83" spans="2:18" ht="15" x14ac:dyDescent="0.25">
      <c r="B83" s="219"/>
      <c r="C83" s="220"/>
      <c r="D83" s="221"/>
      <c r="E83" s="221"/>
      <c r="F83" s="222">
        <f t="shared" ref="F83:F84" si="21">C83*140</f>
        <v>0</v>
      </c>
      <c r="H83" s="219"/>
      <c r="I83" s="220"/>
      <c r="J83" s="221"/>
      <c r="K83" s="221"/>
      <c r="L83" s="222">
        <f t="shared" ref="L83:L84" si="22">I83*140</f>
        <v>0</v>
      </c>
      <c r="N83" s="219"/>
      <c r="O83" s="220"/>
      <c r="P83" s="221"/>
      <c r="Q83" s="221"/>
      <c r="R83" s="222">
        <f t="shared" ref="R83:R84" si="23">O83*140</f>
        <v>0</v>
      </c>
    </row>
    <row r="84" spans="2:18" ht="15" x14ac:dyDescent="0.25">
      <c r="B84" s="219"/>
      <c r="C84" s="220"/>
      <c r="D84" s="221"/>
      <c r="E84" s="221"/>
      <c r="F84" s="222">
        <f t="shared" si="21"/>
        <v>0</v>
      </c>
      <c r="H84" s="219"/>
      <c r="I84" s="220"/>
      <c r="J84" s="221"/>
      <c r="K84" s="221"/>
      <c r="L84" s="222">
        <f t="shared" si="22"/>
        <v>0</v>
      </c>
      <c r="N84" s="219"/>
      <c r="O84" s="220"/>
      <c r="P84" s="221"/>
      <c r="Q84" s="221"/>
      <c r="R84" s="222">
        <f t="shared" si="23"/>
        <v>0</v>
      </c>
    </row>
    <row r="85" spans="2:18" ht="15" x14ac:dyDescent="0.25">
      <c r="B85" s="357" t="s">
        <v>510</v>
      </c>
      <c r="C85" s="358"/>
      <c r="D85" s="358"/>
      <c r="E85" s="358"/>
      <c r="F85" s="359"/>
      <c r="H85" s="357" t="s">
        <v>510</v>
      </c>
      <c r="I85" s="358"/>
      <c r="J85" s="358"/>
      <c r="K85" s="358"/>
      <c r="L85" s="359"/>
      <c r="N85" s="357" t="s">
        <v>510</v>
      </c>
      <c r="O85" s="358"/>
      <c r="P85" s="358"/>
      <c r="Q85" s="358"/>
      <c r="R85" s="359"/>
    </row>
    <row r="86" spans="2:18" ht="15" x14ac:dyDescent="0.25">
      <c r="B86" s="219" t="s">
        <v>511</v>
      </c>
      <c r="C86" s="223"/>
      <c r="D86" s="223"/>
      <c r="E86" s="224"/>
      <c r="F86" s="225">
        <f>(F72+F73+F74+F75+F76+F77+F78+F79+F80+F84)</f>
        <v>33047.4</v>
      </c>
      <c r="H86" s="219" t="s">
        <v>511</v>
      </c>
      <c r="I86" s="223"/>
      <c r="J86" s="223"/>
      <c r="K86" s="224"/>
      <c r="L86" s="225">
        <f>(L72+L73+L74+L75+L76+L77+L78+L79+L80+L84)</f>
        <v>2497.9</v>
      </c>
      <c r="N86" s="219" t="s">
        <v>511</v>
      </c>
      <c r="O86" s="223"/>
      <c r="P86" s="223"/>
      <c r="Q86" s="224"/>
      <c r="R86" s="225">
        <f>(R72+R73+R74+R75+R76+R77+R78+R79+R80+R84)</f>
        <v>9704.4</v>
      </c>
    </row>
    <row r="87" spans="2:18" ht="15" x14ac:dyDescent="0.25">
      <c r="B87" s="226" t="s">
        <v>17</v>
      </c>
      <c r="C87" s="223"/>
      <c r="D87" s="223"/>
      <c r="E87" s="224"/>
      <c r="F87" s="227">
        <f>F86*0.1</f>
        <v>3304.7400000000002</v>
      </c>
      <c r="H87" s="226" t="s">
        <v>17</v>
      </c>
      <c r="I87" s="223"/>
      <c r="J87" s="223"/>
      <c r="K87" s="224"/>
      <c r="L87" s="227">
        <f>L86*0.1</f>
        <v>249.79000000000002</v>
      </c>
      <c r="N87" s="226" t="s">
        <v>17</v>
      </c>
      <c r="O87" s="223"/>
      <c r="P87" s="223"/>
      <c r="Q87" s="224"/>
      <c r="R87" s="227">
        <f>R86*0.1</f>
        <v>970.44</v>
      </c>
    </row>
    <row r="88" spans="2:18" ht="15" x14ac:dyDescent="0.25">
      <c r="B88" s="226" t="s">
        <v>18</v>
      </c>
      <c r="C88" s="223"/>
      <c r="D88" s="223"/>
      <c r="E88" s="224"/>
      <c r="F88" s="227">
        <f>SUM(F86:F87)</f>
        <v>36352.14</v>
      </c>
      <c r="H88" s="226" t="s">
        <v>18</v>
      </c>
      <c r="I88" s="223"/>
      <c r="J88" s="223"/>
      <c r="K88" s="224"/>
      <c r="L88" s="227">
        <f>SUM(L86:L87)</f>
        <v>2747.69</v>
      </c>
      <c r="N88" s="226" t="s">
        <v>18</v>
      </c>
      <c r="O88" s="223"/>
      <c r="P88" s="223"/>
      <c r="Q88" s="224"/>
      <c r="R88" s="227">
        <f>SUM(R86:R87)</f>
        <v>10674.84</v>
      </c>
    </row>
    <row r="89" spans="2:18" ht="15" x14ac:dyDescent="0.25">
      <c r="B89" s="219" t="s">
        <v>435</v>
      </c>
      <c r="C89" s="223"/>
      <c r="D89" s="223"/>
      <c r="E89" s="224"/>
      <c r="F89" s="225">
        <v>0</v>
      </c>
      <c r="H89" s="219" t="s">
        <v>435</v>
      </c>
      <c r="I89" s="223"/>
      <c r="J89" s="223"/>
      <c r="K89" s="224"/>
      <c r="L89" s="225">
        <v>0</v>
      </c>
      <c r="N89" s="219" t="s">
        <v>435</v>
      </c>
      <c r="O89" s="223"/>
      <c r="P89" s="223"/>
      <c r="Q89" s="224"/>
      <c r="R89" s="225">
        <v>0</v>
      </c>
    </row>
    <row r="90" spans="2:18" ht="15.75" thickBot="1" x14ac:dyDescent="0.3">
      <c r="B90" s="228"/>
      <c r="C90" s="229"/>
      <c r="D90" s="229"/>
      <c r="E90" s="229">
        <v>1450</v>
      </c>
      <c r="F90" s="323">
        <f>F88/E90</f>
        <v>25.070441379310346</v>
      </c>
      <c r="H90" s="228"/>
      <c r="I90" s="229" t="s">
        <v>716</v>
      </c>
      <c r="J90" s="229">
        <v>17.8</v>
      </c>
      <c r="K90" s="229">
        <v>534</v>
      </c>
      <c r="L90" s="332">
        <f>L88/K90</f>
        <v>5.1454868913857679</v>
      </c>
      <c r="N90" s="228"/>
      <c r="O90" s="229"/>
      <c r="P90" s="229"/>
      <c r="Q90" s="229">
        <v>350</v>
      </c>
      <c r="R90" s="230">
        <f>R88/Q90</f>
        <v>30.499542857142856</v>
      </c>
    </row>
    <row r="91" spans="2:18" ht="13.5" thickBot="1" x14ac:dyDescent="0.25"/>
    <row r="92" spans="2:18" ht="15" x14ac:dyDescent="0.25">
      <c r="B92" s="354" t="s">
        <v>709</v>
      </c>
      <c r="C92" s="355"/>
      <c r="D92" s="355"/>
      <c r="E92" s="355"/>
      <c r="F92" s="356"/>
      <c r="H92" s="354" t="s">
        <v>767</v>
      </c>
      <c r="I92" s="355"/>
      <c r="J92" s="355"/>
      <c r="K92" s="355"/>
      <c r="L92" s="356"/>
      <c r="N92" s="354" t="s">
        <v>731</v>
      </c>
      <c r="O92" s="355"/>
      <c r="P92" s="355"/>
      <c r="Q92" s="355"/>
      <c r="R92" s="356"/>
    </row>
    <row r="93" spans="2:18" ht="15.75" thickBot="1" x14ac:dyDescent="0.3">
      <c r="B93" s="197" t="s">
        <v>3</v>
      </c>
      <c r="C93" s="197" t="s">
        <v>507</v>
      </c>
      <c r="D93" s="197" t="s">
        <v>508</v>
      </c>
      <c r="E93" s="197" t="s">
        <v>513</v>
      </c>
      <c r="F93" s="256" t="s">
        <v>509</v>
      </c>
      <c r="H93" s="197" t="s">
        <v>3</v>
      </c>
      <c r="I93" s="197" t="s">
        <v>507</v>
      </c>
      <c r="J93" s="197" t="s">
        <v>508</v>
      </c>
      <c r="K93" s="197" t="s">
        <v>513</v>
      </c>
      <c r="L93" s="256" t="s">
        <v>509</v>
      </c>
      <c r="N93" s="197" t="s">
        <v>3</v>
      </c>
      <c r="O93" s="197" t="s">
        <v>507</v>
      </c>
      <c r="P93" s="197" t="s">
        <v>508</v>
      </c>
      <c r="Q93" s="197" t="s">
        <v>513</v>
      </c>
      <c r="R93" s="256" t="s">
        <v>509</v>
      </c>
    </row>
    <row r="94" spans="2:18" ht="15.75" x14ac:dyDescent="0.25">
      <c r="B94" s="257" t="s">
        <v>38</v>
      </c>
      <c r="C94" s="258">
        <v>4000</v>
      </c>
      <c r="D94" s="259" t="s">
        <v>12</v>
      </c>
      <c r="E94" s="321">
        <v>26.9</v>
      </c>
      <c r="F94" s="203">
        <f t="shared" ref="F94:F104" si="24">C94*E94</f>
        <v>107600</v>
      </c>
      <c r="H94" s="257" t="s">
        <v>710</v>
      </c>
      <c r="I94" s="258">
        <v>4000</v>
      </c>
      <c r="J94" s="259" t="s">
        <v>12</v>
      </c>
      <c r="K94" s="321">
        <v>3.8</v>
      </c>
      <c r="L94" s="203">
        <f t="shared" ref="L94:L104" si="25">I94*K94</f>
        <v>15200</v>
      </c>
      <c r="N94" s="257" t="s">
        <v>592</v>
      </c>
      <c r="O94" s="258"/>
      <c r="P94" s="259" t="s">
        <v>12</v>
      </c>
      <c r="Q94" s="260"/>
      <c r="R94" s="261">
        <f>O94*Q94</f>
        <v>0</v>
      </c>
    </row>
    <row r="95" spans="2:18" ht="15" x14ac:dyDescent="0.25">
      <c r="B95" s="262" t="s">
        <v>712</v>
      </c>
      <c r="C95" s="108">
        <v>200</v>
      </c>
      <c r="D95" s="254" t="s">
        <v>12</v>
      </c>
      <c r="E95" s="320">
        <v>3.8</v>
      </c>
      <c r="F95" s="203">
        <f t="shared" si="24"/>
        <v>760</v>
      </c>
      <c r="H95" s="262" t="s">
        <v>63</v>
      </c>
      <c r="I95" s="108">
        <v>250</v>
      </c>
      <c r="J95" s="254" t="s">
        <v>12</v>
      </c>
      <c r="K95" s="295">
        <v>14.76</v>
      </c>
      <c r="L95" s="203">
        <f t="shared" si="25"/>
        <v>3690</v>
      </c>
      <c r="N95" s="262" t="s">
        <v>725</v>
      </c>
      <c r="O95" s="108"/>
      <c r="P95" s="254" t="s">
        <v>12</v>
      </c>
      <c r="Q95" s="253"/>
      <c r="R95" s="203">
        <f t="shared" ref="R95:R104" si="26">O95*Q95</f>
        <v>0</v>
      </c>
    </row>
    <row r="96" spans="2:18" ht="15" x14ac:dyDescent="0.25">
      <c r="B96" s="262" t="s">
        <v>713</v>
      </c>
      <c r="C96" s="108">
        <v>200</v>
      </c>
      <c r="D96" s="254" t="s">
        <v>12</v>
      </c>
      <c r="E96" s="295">
        <v>4.58</v>
      </c>
      <c r="F96" s="203">
        <f t="shared" si="24"/>
        <v>916</v>
      </c>
      <c r="H96" s="262" t="s">
        <v>711</v>
      </c>
      <c r="I96" s="108">
        <v>15</v>
      </c>
      <c r="J96" s="254" t="s">
        <v>12</v>
      </c>
      <c r="K96" s="253">
        <v>89</v>
      </c>
      <c r="L96" s="203">
        <f t="shared" si="25"/>
        <v>1335</v>
      </c>
      <c r="N96" s="262" t="s">
        <v>726</v>
      </c>
      <c r="O96" s="108"/>
      <c r="P96" s="254" t="s">
        <v>12</v>
      </c>
      <c r="Q96" s="253"/>
      <c r="R96" s="203">
        <f t="shared" si="26"/>
        <v>0</v>
      </c>
    </row>
    <row r="97" spans="2:18" ht="15" x14ac:dyDescent="0.25">
      <c r="B97" s="262" t="s">
        <v>40</v>
      </c>
      <c r="C97" s="108">
        <v>20</v>
      </c>
      <c r="D97" s="254" t="s">
        <v>12</v>
      </c>
      <c r="E97" s="320">
        <v>2.4</v>
      </c>
      <c r="F97" s="203">
        <f t="shared" si="24"/>
        <v>48</v>
      </c>
      <c r="H97" s="262" t="s">
        <v>404</v>
      </c>
      <c r="I97" s="108">
        <v>10</v>
      </c>
      <c r="J97" s="254" t="s">
        <v>12</v>
      </c>
      <c r="K97" s="253">
        <v>2</v>
      </c>
      <c r="L97" s="203">
        <f t="shared" si="25"/>
        <v>20</v>
      </c>
      <c r="N97" s="262" t="s">
        <v>727</v>
      </c>
      <c r="O97" s="108"/>
      <c r="P97" s="254" t="s">
        <v>12</v>
      </c>
      <c r="Q97" s="253"/>
      <c r="R97" s="203">
        <f t="shared" si="26"/>
        <v>0</v>
      </c>
    </row>
    <row r="98" spans="2:18" ht="15.75" x14ac:dyDescent="0.25">
      <c r="B98" s="262" t="s">
        <v>41</v>
      </c>
      <c r="C98" s="108">
        <v>10</v>
      </c>
      <c r="D98" s="254" t="s">
        <v>59</v>
      </c>
      <c r="E98" s="253">
        <v>52</v>
      </c>
      <c r="F98" s="203">
        <f t="shared" si="24"/>
        <v>520</v>
      </c>
      <c r="H98" s="262"/>
      <c r="I98" s="108">
        <f>SUM(I94:I97)</f>
        <v>4275</v>
      </c>
      <c r="J98" s="255"/>
      <c r="K98" s="253"/>
      <c r="L98" s="203">
        <f t="shared" si="25"/>
        <v>0</v>
      </c>
      <c r="N98" s="262" t="s">
        <v>728</v>
      </c>
      <c r="O98" s="108"/>
      <c r="P98" s="254" t="s">
        <v>59</v>
      </c>
      <c r="Q98" s="253"/>
      <c r="R98" s="203">
        <f t="shared" si="26"/>
        <v>0</v>
      </c>
    </row>
    <row r="99" spans="2:18" ht="15.75" x14ac:dyDescent="0.25">
      <c r="B99" s="262" t="s">
        <v>35</v>
      </c>
      <c r="C99" s="108">
        <v>50</v>
      </c>
      <c r="D99" s="254" t="s">
        <v>59</v>
      </c>
      <c r="E99" s="253">
        <v>15</v>
      </c>
      <c r="F99" s="203">
        <f t="shared" si="24"/>
        <v>750</v>
      </c>
      <c r="H99" s="262"/>
      <c r="I99" s="108"/>
      <c r="J99" s="255"/>
      <c r="K99" s="253"/>
      <c r="L99" s="203">
        <f t="shared" si="25"/>
        <v>0</v>
      </c>
      <c r="N99" s="262" t="s">
        <v>729</v>
      </c>
      <c r="O99" s="108"/>
      <c r="P99" s="254" t="s">
        <v>59</v>
      </c>
      <c r="Q99" s="253"/>
      <c r="R99" s="203">
        <f t="shared" si="26"/>
        <v>0</v>
      </c>
    </row>
    <row r="100" spans="2:18" ht="15.75" x14ac:dyDescent="0.25">
      <c r="B100" s="262" t="s">
        <v>714</v>
      </c>
      <c r="C100" s="108">
        <v>250</v>
      </c>
      <c r="D100" s="255" t="s">
        <v>12</v>
      </c>
      <c r="E100" s="320">
        <v>4.4000000000000004</v>
      </c>
      <c r="F100" s="203">
        <f t="shared" si="24"/>
        <v>1100</v>
      </c>
      <c r="H100" s="262"/>
      <c r="I100" s="108"/>
      <c r="J100" s="255"/>
      <c r="K100" s="253"/>
      <c r="L100" s="203">
        <f t="shared" si="25"/>
        <v>0</v>
      </c>
      <c r="N100" s="262" t="s">
        <v>663</v>
      </c>
      <c r="O100" s="108"/>
      <c r="P100" s="255" t="s">
        <v>12</v>
      </c>
      <c r="Q100" s="253"/>
      <c r="R100" s="203">
        <f t="shared" si="26"/>
        <v>0</v>
      </c>
    </row>
    <row r="101" spans="2:18" ht="15.75" x14ac:dyDescent="0.25">
      <c r="B101" s="265" t="s">
        <v>715</v>
      </c>
      <c r="C101" s="108">
        <v>180</v>
      </c>
      <c r="D101" s="255" t="s">
        <v>12</v>
      </c>
      <c r="E101" s="295">
        <v>10.92</v>
      </c>
      <c r="F101" s="203">
        <f t="shared" si="24"/>
        <v>1965.6</v>
      </c>
      <c r="H101" s="265"/>
      <c r="I101" s="108"/>
      <c r="J101" s="255"/>
      <c r="K101" s="253"/>
      <c r="L101" s="203">
        <f t="shared" si="25"/>
        <v>0</v>
      </c>
      <c r="N101" s="265" t="s">
        <v>730</v>
      </c>
      <c r="O101" s="108"/>
      <c r="P101" s="255" t="s">
        <v>12</v>
      </c>
      <c r="Q101" s="253"/>
      <c r="R101" s="203">
        <f t="shared" si="26"/>
        <v>0</v>
      </c>
    </row>
    <row r="102" spans="2:18" ht="15.75" x14ac:dyDescent="0.25">
      <c r="B102" s="265" t="s">
        <v>617</v>
      </c>
      <c r="C102" s="108">
        <v>160</v>
      </c>
      <c r="D102" s="255" t="s">
        <v>12</v>
      </c>
      <c r="E102" s="253">
        <v>13</v>
      </c>
      <c r="F102" s="203">
        <f t="shared" si="24"/>
        <v>2080</v>
      </c>
      <c r="H102" s="265"/>
      <c r="I102" s="108"/>
      <c r="J102" s="255"/>
      <c r="K102" s="253"/>
      <c r="L102" s="203"/>
      <c r="N102" s="265" t="s">
        <v>593</v>
      </c>
      <c r="O102" s="108"/>
      <c r="P102" s="255" t="s">
        <v>12</v>
      </c>
      <c r="Q102" s="253"/>
      <c r="R102" s="203">
        <f t="shared" si="26"/>
        <v>0</v>
      </c>
    </row>
    <row r="103" spans="2:18" ht="15.75" x14ac:dyDescent="0.25">
      <c r="B103" s="265" t="s">
        <v>618</v>
      </c>
      <c r="C103" s="108">
        <v>40</v>
      </c>
      <c r="D103" s="255" t="s">
        <v>12</v>
      </c>
      <c r="E103" s="320">
        <v>7.6</v>
      </c>
      <c r="F103" s="203">
        <f t="shared" si="24"/>
        <v>304</v>
      </c>
      <c r="H103" s="265"/>
      <c r="I103" s="108"/>
      <c r="J103" s="255"/>
      <c r="K103" s="253"/>
      <c r="L103" s="203"/>
      <c r="N103" s="265"/>
      <c r="O103" s="108"/>
      <c r="P103" s="255"/>
      <c r="Q103" s="253"/>
      <c r="R103" s="203"/>
    </row>
    <row r="104" spans="2:18" ht="15.75" x14ac:dyDescent="0.25">
      <c r="B104" s="266"/>
      <c r="C104" s="108">
        <f>SUM(C94:C103)</f>
        <v>5110</v>
      </c>
      <c r="D104" s="255" t="s">
        <v>12</v>
      </c>
      <c r="E104" s="253"/>
      <c r="F104" s="203">
        <f t="shared" si="24"/>
        <v>0</v>
      </c>
      <c r="H104" s="266"/>
      <c r="I104" s="108"/>
      <c r="J104" s="255"/>
      <c r="K104" s="253"/>
      <c r="L104" s="203">
        <f t="shared" si="25"/>
        <v>0</v>
      </c>
      <c r="N104" s="266" t="s">
        <v>642</v>
      </c>
      <c r="O104" s="108"/>
      <c r="P104" s="255" t="s">
        <v>12</v>
      </c>
      <c r="Q104" s="253"/>
      <c r="R104" s="203">
        <f t="shared" si="26"/>
        <v>0</v>
      </c>
    </row>
    <row r="105" spans="2:18" ht="15" x14ac:dyDescent="0.25">
      <c r="B105" s="216" t="s">
        <v>512</v>
      </c>
      <c r="C105" s="217"/>
      <c r="D105" s="217"/>
      <c r="E105" s="217"/>
      <c r="F105" s="218"/>
      <c r="H105" s="216" t="s">
        <v>512</v>
      </c>
      <c r="I105" s="217"/>
      <c r="J105" s="217"/>
      <c r="K105" s="217"/>
      <c r="L105" s="218"/>
      <c r="N105" s="216" t="s">
        <v>512</v>
      </c>
      <c r="O105" s="217"/>
      <c r="P105" s="217"/>
      <c r="Q105" s="217"/>
      <c r="R105" s="218"/>
    </row>
    <row r="106" spans="2:18" ht="15" x14ac:dyDescent="0.25">
      <c r="B106" s="219"/>
      <c r="C106" s="220"/>
      <c r="D106" s="221"/>
      <c r="E106" s="221"/>
      <c r="F106" s="222">
        <f>C106*140</f>
        <v>0</v>
      </c>
      <c r="H106" s="219"/>
      <c r="I106" s="220"/>
      <c r="J106" s="221"/>
      <c r="K106" s="221"/>
      <c r="L106" s="222">
        <f>I106*140</f>
        <v>0</v>
      </c>
      <c r="N106" s="219"/>
      <c r="O106" s="220"/>
      <c r="P106" s="221"/>
      <c r="Q106" s="221"/>
      <c r="R106" s="222">
        <f>O106*140</f>
        <v>0</v>
      </c>
    </row>
    <row r="107" spans="2:18" ht="15" x14ac:dyDescent="0.25">
      <c r="B107" s="219"/>
      <c r="C107" s="220"/>
      <c r="D107" s="221"/>
      <c r="E107" s="221"/>
      <c r="F107" s="222">
        <f t="shared" ref="F107:F108" si="27">C107*140</f>
        <v>0</v>
      </c>
      <c r="H107" s="219"/>
      <c r="I107" s="220"/>
      <c r="J107" s="221"/>
      <c r="K107" s="221"/>
      <c r="L107" s="222">
        <f t="shared" ref="L107:L108" si="28">I107*140</f>
        <v>0</v>
      </c>
      <c r="N107" s="219"/>
      <c r="O107" s="220"/>
      <c r="P107" s="221"/>
      <c r="Q107" s="221"/>
      <c r="R107" s="222">
        <f t="shared" ref="R107" si="29">O107*140</f>
        <v>0</v>
      </c>
    </row>
    <row r="108" spans="2:18" ht="15" x14ac:dyDescent="0.25">
      <c r="B108" s="219"/>
      <c r="C108" s="220"/>
      <c r="D108" s="221"/>
      <c r="E108" s="221"/>
      <c r="F108" s="222">
        <f t="shared" si="27"/>
        <v>0</v>
      </c>
      <c r="H108" s="219"/>
      <c r="I108" s="220"/>
      <c r="J108" s="221"/>
      <c r="K108" s="221"/>
      <c r="L108" s="222">
        <f t="shared" si="28"/>
        <v>0</v>
      </c>
      <c r="N108" s="219"/>
      <c r="O108" s="220"/>
      <c r="P108" s="221"/>
      <c r="Q108" s="221"/>
      <c r="R108" s="222">
        <f>SUM(R106:R107)</f>
        <v>0</v>
      </c>
    </row>
    <row r="109" spans="2:18" ht="15" x14ac:dyDescent="0.25">
      <c r="B109" s="357" t="s">
        <v>510</v>
      </c>
      <c r="C109" s="358"/>
      <c r="D109" s="358"/>
      <c r="E109" s="358"/>
      <c r="F109" s="359"/>
      <c r="H109" s="357" t="s">
        <v>510</v>
      </c>
      <c r="I109" s="358"/>
      <c r="J109" s="358"/>
      <c r="K109" s="358"/>
      <c r="L109" s="359"/>
      <c r="N109" s="357" t="s">
        <v>510</v>
      </c>
      <c r="O109" s="358"/>
      <c r="P109" s="358"/>
      <c r="Q109" s="358"/>
      <c r="R109" s="359"/>
    </row>
    <row r="110" spans="2:18" ht="15" x14ac:dyDescent="0.25">
      <c r="B110" s="219" t="s">
        <v>511</v>
      </c>
      <c r="C110" s="223"/>
      <c r="D110" s="223"/>
      <c r="E110" s="224"/>
      <c r="F110" s="225">
        <f>(F94+F95+F96+F97+F98+F99+F100+F101+F104+F108)</f>
        <v>113659.6</v>
      </c>
      <c r="H110" s="219" t="s">
        <v>511</v>
      </c>
      <c r="I110" s="223"/>
      <c r="J110" s="223"/>
      <c r="K110" s="224"/>
      <c r="L110" s="225">
        <f>(L94+L95+L96+L97+L98+L99+L100+L101+L104+L108)</f>
        <v>20245</v>
      </c>
      <c r="N110" s="219" t="s">
        <v>511</v>
      </c>
      <c r="O110" s="223"/>
      <c r="P110" s="223"/>
      <c r="Q110" s="224"/>
      <c r="R110" s="225">
        <f>R94+R95+R96+R97+R98+R99+R100+R101+R102+R104+R108</f>
        <v>0</v>
      </c>
    </row>
    <row r="111" spans="2:18" ht="15" x14ac:dyDescent="0.25">
      <c r="B111" s="226" t="s">
        <v>17</v>
      </c>
      <c r="C111" s="223"/>
      <c r="D111" s="223"/>
      <c r="E111" s="224"/>
      <c r="F111" s="227">
        <f>F110*0.1</f>
        <v>11365.960000000001</v>
      </c>
      <c r="H111" s="226" t="s">
        <v>17</v>
      </c>
      <c r="I111" s="223"/>
      <c r="J111" s="223"/>
      <c r="K111" s="224"/>
      <c r="L111" s="227">
        <f>L110*0.1</f>
        <v>2024.5</v>
      </c>
      <c r="N111" s="226" t="s">
        <v>17</v>
      </c>
      <c r="O111" s="223"/>
      <c r="P111" s="223"/>
      <c r="Q111" s="224"/>
      <c r="R111" s="227">
        <f>R110*0.1</f>
        <v>0</v>
      </c>
    </row>
    <row r="112" spans="2:18" ht="15" x14ac:dyDescent="0.25">
      <c r="B112" s="226" t="s">
        <v>18</v>
      </c>
      <c r="C112" s="223"/>
      <c r="D112" s="223"/>
      <c r="E112" s="224"/>
      <c r="F112" s="227">
        <f>SUM(F110:F111)</f>
        <v>125025.56000000001</v>
      </c>
      <c r="H112" s="226" t="s">
        <v>18</v>
      </c>
      <c r="I112" s="223"/>
      <c r="J112" s="223"/>
      <c r="K112" s="224"/>
      <c r="L112" s="227">
        <f>SUM(L110:L111)</f>
        <v>22269.5</v>
      </c>
      <c r="N112" s="226" t="s">
        <v>18</v>
      </c>
      <c r="O112" s="223"/>
      <c r="P112" s="223"/>
      <c r="Q112" s="224"/>
      <c r="R112" s="227">
        <f>SUM(R110:R111)</f>
        <v>0</v>
      </c>
    </row>
    <row r="113" spans="2:18" ht="15" x14ac:dyDescent="0.25">
      <c r="B113" s="219" t="s">
        <v>435</v>
      </c>
      <c r="C113" s="223"/>
      <c r="D113" s="223"/>
      <c r="E113" s="224"/>
      <c r="F113" s="225">
        <v>0</v>
      </c>
      <c r="H113" s="219" t="s">
        <v>435</v>
      </c>
      <c r="I113" s="223"/>
      <c r="J113" s="223"/>
      <c r="K113" s="224"/>
      <c r="L113" s="225">
        <v>0</v>
      </c>
      <c r="N113" s="219" t="s">
        <v>435</v>
      </c>
      <c r="O113" s="223"/>
      <c r="P113" s="223"/>
      <c r="Q113" s="224"/>
      <c r="R113" s="225">
        <v>30000</v>
      </c>
    </row>
    <row r="114" spans="2:18" ht="15.75" thickBot="1" x14ac:dyDescent="0.3">
      <c r="B114" s="228"/>
      <c r="C114" s="229"/>
      <c r="D114" s="229"/>
      <c r="E114" s="229">
        <v>5110</v>
      </c>
      <c r="F114" s="332">
        <f>F112/E114</f>
        <v>24.466841487279847</v>
      </c>
      <c r="H114" s="228"/>
      <c r="I114" s="229"/>
      <c r="J114" s="229"/>
      <c r="K114" s="229">
        <v>4275</v>
      </c>
      <c r="L114" s="323">
        <f>L112/K114</f>
        <v>5.209239766081871</v>
      </c>
      <c r="N114" s="228"/>
      <c r="O114" s="229"/>
      <c r="P114" s="229"/>
      <c r="Q114" s="229"/>
      <c r="R114" s="230"/>
    </row>
    <row r="115" spans="2:18" ht="13.5" thickBot="1" x14ac:dyDescent="0.25"/>
    <row r="116" spans="2:18" ht="15" x14ac:dyDescent="0.25">
      <c r="B116" s="354" t="s">
        <v>743</v>
      </c>
      <c r="C116" s="355"/>
      <c r="D116" s="355"/>
      <c r="E116" s="355"/>
      <c r="F116" s="356"/>
      <c r="H116" s="354" t="s">
        <v>751</v>
      </c>
      <c r="I116" s="355"/>
      <c r="J116" s="355"/>
      <c r="K116" s="355"/>
      <c r="L116" s="356"/>
      <c r="N116" s="354" t="s">
        <v>745</v>
      </c>
      <c r="O116" s="355"/>
      <c r="P116" s="355"/>
      <c r="Q116" s="355"/>
      <c r="R116" s="356"/>
    </row>
    <row r="117" spans="2:18" ht="15.75" thickBot="1" x14ac:dyDescent="0.3">
      <c r="B117" s="197" t="s">
        <v>3</v>
      </c>
      <c r="C117" s="197" t="s">
        <v>507</v>
      </c>
      <c r="D117" s="197" t="s">
        <v>508</v>
      </c>
      <c r="E117" s="197" t="s">
        <v>513</v>
      </c>
      <c r="F117" s="256" t="s">
        <v>509</v>
      </c>
      <c r="H117" s="327" t="s">
        <v>3</v>
      </c>
      <c r="I117" s="197" t="s">
        <v>507</v>
      </c>
      <c r="J117" s="197" t="s">
        <v>508</v>
      </c>
      <c r="K117" s="197" t="s">
        <v>513</v>
      </c>
      <c r="L117" s="328" t="s">
        <v>509</v>
      </c>
      <c r="N117" s="197" t="s">
        <v>3</v>
      </c>
      <c r="O117" s="197" t="s">
        <v>507</v>
      </c>
      <c r="P117" s="197" t="s">
        <v>508</v>
      </c>
      <c r="Q117" s="197" t="s">
        <v>513</v>
      </c>
      <c r="R117" s="256" t="s">
        <v>509</v>
      </c>
    </row>
    <row r="118" spans="2:18" ht="15.75" x14ac:dyDescent="0.25">
      <c r="B118" s="257" t="s">
        <v>111</v>
      </c>
      <c r="C118" s="258">
        <v>300</v>
      </c>
      <c r="D118" s="259" t="s">
        <v>12</v>
      </c>
      <c r="E118" s="260">
        <v>1.5</v>
      </c>
      <c r="F118" s="261">
        <f>C118*E118</f>
        <v>450</v>
      </c>
      <c r="H118" s="266" t="s">
        <v>752</v>
      </c>
      <c r="I118" s="108">
        <v>8000</v>
      </c>
      <c r="J118" s="108" t="s">
        <v>12</v>
      </c>
      <c r="K118" s="295">
        <v>5.78</v>
      </c>
      <c r="L118" s="261">
        <f>I118*K118</f>
        <v>46240</v>
      </c>
      <c r="N118" s="257" t="s">
        <v>746</v>
      </c>
      <c r="O118" s="258">
        <v>500</v>
      </c>
      <c r="P118" s="259" t="s">
        <v>12</v>
      </c>
      <c r="Q118" s="260">
        <v>22</v>
      </c>
      <c r="R118" s="261">
        <f>O118*Q118</f>
        <v>11000</v>
      </c>
    </row>
    <row r="119" spans="2:18" ht="15" x14ac:dyDescent="0.25">
      <c r="B119" s="262" t="s">
        <v>112</v>
      </c>
      <c r="C119" s="108">
        <v>30</v>
      </c>
      <c r="D119" s="254" t="s">
        <v>12</v>
      </c>
      <c r="E119" s="253">
        <v>3</v>
      </c>
      <c r="F119" s="203">
        <f t="shared" ref="F119:F127" si="30">C119*E119</f>
        <v>90</v>
      </c>
      <c r="H119" s="264" t="s">
        <v>753</v>
      </c>
      <c r="I119" s="108">
        <v>460</v>
      </c>
      <c r="J119" s="108" t="s">
        <v>12</v>
      </c>
      <c r="K119" s="320">
        <v>3.8</v>
      </c>
      <c r="L119" s="203">
        <f t="shared" ref="L119:L127" si="31">I119*K119</f>
        <v>1748</v>
      </c>
      <c r="N119" s="262" t="s">
        <v>747</v>
      </c>
      <c r="O119" s="108">
        <v>200</v>
      </c>
      <c r="P119" s="254" t="s">
        <v>12</v>
      </c>
      <c r="Q119" s="253">
        <v>4</v>
      </c>
      <c r="R119" s="203">
        <f t="shared" ref="R119:R127" si="32">O119*Q119</f>
        <v>800</v>
      </c>
    </row>
    <row r="120" spans="2:18" ht="15" x14ac:dyDescent="0.25">
      <c r="B120" s="262" t="s">
        <v>42</v>
      </c>
      <c r="C120" s="108">
        <v>30</v>
      </c>
      <c r="D120" s="254" t="s">
        <v>12</v>
      </c>
      <c r="E120" s="253">
        <v>11</v>
      </c>
      <c r="F120" s="203">
        <f t="shared" si="30"/>
        <v>330</v>
      </c>
      <c r="H120" s="264" t="s">
        <v>754</v>
      </c>
      <c r="I120" s="108">
        <v>220</v>
      </c>
      <c r="J120" s="108" t="s">
        <v>12</v>
      </c>
      <c r="K120" s="320">
        <v>9.4</v>
      </c>
      <c r="L120" s="203">
        <f t="shared" si="31"/>
        <v>2068</v>
      </c>
      <c r="N120" s="262"/>
      <c r="O120" s="108"/>
      <c r="P120" s="254" t="s">
        <v>12</v>
      </c>
      <c r="Q120" s="253"/>
      <c r="R120" s="203">
        <f t="shared" si="32"/>
        <v>0</v>
      </c>
    </row>
    <row r="121" spans="2:18" ht="15" x14ac:dyDescent="0.25">
      <c r="B121" s="262" t="s">
        <v>113</v>
      </c>
      <c r="C121" s="108">
        <v>200</v>
      </c>
      <c r="D121" s="254" t="s">
        <v>12</v>
      </c>
      <c r="E121" s="253">
        <v>5</v>
      </c>
      <c r="F121" s="203">
        <f t="shared" si="30"/>
        <v>1000</v>
      </c>
      <c r="H121" s="264" t="s">
        <v>726</v>
      </c>
      <c r="I121" s="108">
        <v>120</v>
      </c>
      <c r="J121" s="108" t="s">
        <v>12</v>
      </c>
      <c r="K121" s="320">
        <v>4.4000000000000004</v>
      </c>
      <c r="L121" s="203">
        <f t="shared" si="31"/>
        <v>528</v>
      </c>
      <c r="N121" s="262"/>
      <c r="O121" s="108"/>
      <c r="P121" s="254" t="s">
        <v>12</v>
      </c>
      <c r="Q121" s="253"/>
      <c r="R121" s="203">
        <f t="shared" si="32"/>
        <v>0</v>
      </c>
    </row>
    <row r="122" spans="2:18" ht="15" x14ac:dyDescent="0.25">
      <c r="B122" s="262" t="s">
        <v>188</v>
      </c>
      <c r="C122" s="108">
        <v>10</v>
      </c>
      <c r="D122" s="254" t="s">
        <v>12</v>
      </c>
      <c r="E122" s="253">
        <v>5</v>
      </c>
      <c r="F122" s="203">
        <f t="shared" si="30"/>
        <v>50</v>
      </c>
      <c r="H122" s="264" t="s">
        <v>755</v>
      </c>
      <c r="I122" s="108">
        <v>125</v>
      </c>
      <c r="J122" s="108" t="s">
        <v>12</v>
      </c>
      <c r="K122" s="253">
        <v>41.5</v>
      </c>
      <c r="L122" s="203">
        <f t="shared" si="31"/>
        <v>5187.5</v>
      </c>
      <c r="N122" s="262"/>
      <c r="O122" s="108"/>
      <c r="P122" s="254" t="s">
        <v>59</v>
      </c>
      <c r="Q122" s="253"/>
      <c r="R122" s="203">
        <f t="shared" si="32"/>
        <v>0</v>
      </c>
    </row>
    <row r="123" spans="2:18" ht="15" x14ac:dyDescent="0.25">
      <c r="B123" s="262" t="s">
        <v>114</v>
      </c>
      <c r="C123" s="108">
        <v>65</v>
      </c>
      <c r="D123" s="254" t="s">
        <v>108</v>
      </c>
      <c r="E123" s="253">
        <v>2.85</v>
      </c>
      <c r="F123" s="203">
        <f t="shared" si="30"/>
        <v>185.25</v>
      </c>
      <c r="H123" s="336" t="s">
        <v>756</v>
      </c>
      <c r="I123" s="267">
        <v>100</v>
      </c>
      <c r="J123" s="334" t="s">
        <v>59</v>
      </c>
      <c r="K123" s="269">
        <v>15</v>
      </c>
      <c r="L123" s="203">
        <f t="shared" si="31"/>
        <v>1500</v>
      </c>
      <c r="N123" s="262"/>
      <c r="O123" s="108"/>
      <c r="P123" s="254" t="s">
        <v>59</v>
      </c>
      <c r="Q123" s="253"/>
      <c r="R123" s="203">
        <f t="shared" si="32"/>
        <v>0</v>
      </c>
    </row>
    <row r="124" spans="2:18" ht="15.75" x14ac:dyDescent="0.25">
      <c r="B124" s="262" t="s">
        <v>189</v>
      </c>
      <c r="C124" s="108">
        <v>65</v>
      </c>
      <c r="D124" s="254" t="s">
        <v>108</v>
      </c>
      <c r="E124" s="253">
        <v>4.9000000000000004</v>
      </c>
      <c r="F124" s="203">
        <f t="shared" si="30"/>
        <v>318.5</v>
      </c>
      <c r="H124" s="262" t="s">
        <v>345</v>
      </c>
      <c r="I124" s="108">
        <v>2000</v>
      </c>
      <c r="J124" s="255" t="s">
        <v>597</v>
      </c>
      <c r="K124" s="253">
        <v>2.6</v>
      </c>
      <c r="L124" s="203">
        <f t="shared" si="31"/>
        <v>5200</v>
      </c>
      <c r="N124" s="262"/>
      <c r="O124" s="108"/>
      <c r="P124" s="255" t="s">
        <v>12</v>
      </c>
      <c r="Q124" s="253"/>
      <c r="R124" s="203">
        <f t="shared" si="32"/>
        <v>0</v>
      </c>
    </row>
    <row r="125" spans="2:18" ht="15.75" x14ac:dyDescent="0.25">
      <c r="B125" s="265" t="s">
        <v>190</v>
      </c>
      <c r="C125" s="108">
        <v>300</v>
      </c>
      <c r="D125" s="254" t="s">
        <v>108</v>
      </c>
      <c r="E125" s="253">
        <v>71.930000000000007</v>
      </c>
      <c r="F125" s="203">
        <f t="shared" si="30"/>
        <v>21579.000000000004</v>
      </c>
      <c r="H125" s="265"/>
      <c r="I125" s="108">
        <f>SUM(I118:I124)</f>
        <v>11025</v>
      </c>
      <c r="J125" s="255"/>
      <c r="K125" s="253"/>
      <c r="L125" s="203">
        <f t="shared" si="31"/>
        <v>0</v>
      </c>
      <c r="N125" s="265"/>
      <c r="O125" s="108"/>
      <c r="P125" s="255"/>
      <c r="Q125" s="253"/>
      <c r="R125" s="203">
        <f t="shared" si="32"/>
        <v>0</v>
      </c>
    </row>
    <row r="126" spans="2:18" ht="15.75" x14ac:dyDescent="0.25">
      <c r="B126" s="265" t="s">
        <v>40</v>
      </c>
      <c r="C126" s="108">
        <v>20</v>
      </c>
      <c r="D126" s="254" t="s">
        <v>12</v>
      </c>
      <c r="E126" s="320">
        <v>2.6</v>
      </c>
      <c r="F126" s="203">
        <f t="shared" si="30"/>
        <v>52</v>
      </c>
      <c r="H126" s="265"/>
      <c r="I126" s="108"/>
      <c r="J126" s="255"/>
      <c r="K126" s="253"/>
      <c r="L126" s="203"/>
      <c r="N126" s="265"/>
      <c r="O126" s="108"/>
      <c r="P126" s="255"/>
      <c r="Q126" s="253"/>
      <c r="R126" s="203"/>
    </row>
    <row r="127" spans="2:18" ht="15.75" x14ac:dyDescent="0.25">
      <c r="B127" s="266" t="s">
        <v>41</v>
      </c>
      <c r="C127" s="108">
        <v>8</v>
      </c>
      <c r="D127" s="254" t="s">
        <v>12</v>
      </c>
      <c r="E127" s="253">
        <v>58.17</v>
      </c>
      <c r="F127" s="203">
        <f t="shared" si="30"/>
        <v>465.36</v>
      </c>
      <c r="H127" s="266"/>
      <c r="I127" s="108"/>
      <c r="J127" s="255"/>
      <c r="K127" s="253"/>
      <c r="L127" s="203">
        <f t="shared" si="31"/>
        <v>0</v>
      </c>
      <c r="N127" s="266"/>
      <c r="O127" s="108"/>
      <c r="P127" s="255"/>
      <c r="Q127" s="253"/>
      <c r="R127" s="203">
        <f t="shared" si="32"/>
        <v>0</v>
      </c>
    </row>
    <row r="128" spans="2:18" ht="15" x14ac:dyDescent="0.25">
      <c r="B128" s="216" t="s">
        <v>512</v>
      </c>
      <c r="C128" s="217">
        <f>SUM(C118:C127)</f>
        <v>1028</v>
      </c>
      <c r="D128" s="217"/>
      <c r="E128" s="217"/>
      <c r="F128" s="218"/>
      <c r="H128" s="216" t="s">
        <v>512</v>
      </c>
      <c r="I128" s="217"/>
      <c r="J128" s="217"/>
      <c r="K128" s="217"/>
      <c r="L128" s="218"/>
      <c r="N128" s="216" t="s">
        <v>512</v>
      </c>
      <c r="O128" s="217"/>
      <c r="P128" s="217"/>
      <c r="Q128" s="217"/>
      <c r="R128" s="218"/>
    </row>
    <row r="129" spans="2:18" ht="15" x14ac:dyDescent="0.25">
      <c r="B129" s="219"/>
      <c r="C129" s="220"/>
      <c r="D129" s="221"/>
      <c r="E129" s="221"/>
      <c r="F129" s="222">
        <f>C129*140</f>
        <v>0</v>
      </c>
      <c r="H129" s="219"/>
      <c r="I129" s="220"/>
      <c r="J129" s="221"/>
      <c r="K129" s="221"/>
      <c r="L129" s="222">
        <f>I129*140</f>
        <v>0</v>
      </c>
      <c r="N129" s="219"/>
      <c r="O129" s="220"/>
      <c r="P129" s="221"/>
      <c r="Q129" s="221"/>
      <c r="R129" s="222">
        <f>O129*140</f>
        <v>0</v>
      </c>
    </row>
    <row r="130" spans="2:18" ht="15" x14ac:dyDescent="0.25">
      <c r="B130" s="219"/>
      <c r="C130" s="220"/>
      <c r="D130" s="221"/>
      <c r="E130" s="221"/>
      <c r="F130" s="222">
        <f t="shared" ref="F130:F131" si="33">C130*140</f>
        <v>0</v>
      </c>
      <c r="H130" s="219"/>
      <c r="I130" s="220"/>
      <c r="J130" s="221"/>
      <c r="K130" s="221"/>
      <c r="L130" s="222">
        <f t="shared" ref="L130:L131" si="34">I130*140</f>
        <v>0</v>
      </c>
      <c r="N130" s="219"/>
      <c r="O130" s="220"/>
      <c r="P130" s="221"/>
      <c r="Q130" s="221"/>
      <c r="R130" s="222">
        <f t="shared" ref="R130:R131" si="35">O130*140</f>
        <v>0</v>
      </c>
    </row>
    <row r="131" spans="2:18" ht="15" x14ac:dyDescent="0.25">
      <c r="B131" s="219"/>
      <c r="C131" s="220"/>
      <c r="D131" s="221"/>
      <c r="E131" s="221"/>
      <c r="F131" s="222">
        <f t="shared" si="33"/>
        <v>0</v>
      </c>
      <c r="H131" s="219"/>
      <c r="I131" s="220"/>
      <c r="J131" s="221"/>
      <c r="K131" s="221"/>
      <c r="L131" s="222">
        <f t="shared" si="34"/>
        <v>0</v>
      </c>
      <c r="N131" s="219"/>
      <c r="O131" s="220"/>
      <c r="P131" s="221"/>
      <c r="Q131" s="221"/>
      <c r="R131" s="222">
        <f t="shared" si="35"/>
        <v>0</v>
      </c>
    </row>
    <row r="132" spans="2:18" ht="15" x14ac:dyDescent="0.25">
      <c r="B132" s="357" t="s">
        <v>510</v>
      </c>
      <c r="C132" s="358"/>
      <c r="D132" s="358"/>
      <c r="E132" s="358"/>
      <c r="F132" s="359"/>
      <c r="H132" s="357" t="s">
        <v>510</v>
      </c>
      <c r="I132" s="358"/>
      <c r="J132" s="358"/>
      <c r="K132" s="358"/>
      <c r="L132" s="359"/>
      <c r="N132" s="357" t="s">
        <v>510</v>
      </c>
      <c r="O132" s="358"/>
      <c r="P132" s="358"/>
      <c r="Q132" s="358"/>
      <c r="R132" s="359"/>
    </row>
    <row r="133" spans="2:18" ht="15" x14ac:dyDescent="0.25">
      <c r="B133" s="219" t="s">
        <v>511</v>
      </c>
      <c r="C133" s="223"/>
      <c r="D133" s="223"/>
      <c r="E133" s="224"/>
      <c r="F133" s="225">
        <f>(F118+F119+F120+F121+F122+F123+F124+F125+F127+F131)</f>
        <v>24468.110000000004</v>
      </c>
      <c r="H133" s="219" t="s">
        <v>511</v>
      </c>
      <c r="I133" s="223"/>
      <c r="J133" s="223"/>
      <c r="K133" s="224"/>
      <c r="L133" s="225">
        <f>(L118+L119+L120+L121+L122+L123+L124+L125+L127+L131)</f>
        <v>62471.5</v>
      </c>
      <c r="N133" s="219" t="s">
        <v>511</v>
      </c>
      <c r="O133" s="223"/>
      <c r="P133" s="223"/>
      <c r="Q133" s="224"/>
      <c r="R133" s="225">
        <f>(R118+R119+R120+R121+R122+R123+R124+R125+R127+R131)</f>
        <v>11800</v>
      </c>
    </row>
    <row r="134" spans="2:18" ht="15" x14ac:dyDescent="0.25">
      <c r="B134" s="226" t="s">
        <v>17</v>
      </c>
      <c r="C134" s="223"/>
      <c r="D134" s="223"/>
      <c r="E134" s="224"/>
      <c r="F134" s="227">
        <f>F133*0.1</f>
        <v>2446.8110000000006</v>
      </c>
      <c r="H134" s="226" t="s">
        <v>17</v>
      </c>
      <c r="I134" s="223"/>
      <c r="J134" s="223"/>
      <c r="K134" s="224"/>
      <c r="L134" s="227">
        <f>L133*0.1</f>
        <v>6247.1500000000005</v>
      </c>
      <c r="N134" s="226" t="s">
        <v>17</v>
      </c>
      <c r="O134" s="223"/>
      <c r="P134" s="223"/>
      <c r="Q134" s="224"/>
      <c r="R134" s="227">
        <f>R133*0.1</f>
        <v>1180</v>
      </c>
    </row>
    <row r="135" spans="2:18" ht="15" x14ac:dyDescent="0.25">
      <c r="B135" s="226" t="s">
        <v>18</v>
      </c>
      <c r="C135" s="223"/>
      <c r="D135" s="223"/>
      <c r="E135" s="224"/>
      <c r="F135" s="227">
        <f>SUM(F133:F134)</f>
        <v>26914.921000000006</v>
      </c>
      <c r="H135" s="226" t="s">
        <v>18</v>
      </c>
      <c r="I135" s="223"/>
      <c r="J135" s="223"/>
      <c r="K135" s="224"/>
      <c r="L135" s="227">
        <f>SUM(L133:L134)</f>
        <v>68718.649999999994</v>
      </c>
      <c r="N135" s="226" t="s">
        <v>18</v>
      </c>
      <c r="O135" s="223"/>
      <c r="P135" s="223"/>
      <c r="Q135" s="224"/>
      <c r="R135" s="227">
        <f>SUM(R133:R134)</f>
        <v>12980</v>
      </c>
    </row>
    <row r="136" spans="2:18" ht="15" x14ac:dyDescent="0.25">
      <c r="B136" s="219" t="s">
        <v>435</v>
      </c>
      <c r="C136" s="223"/>
      <c r="D136" s="223"/>
      <c r="E136" s="224"/>
      <c r="F136" s="225">
        <v>0</v>
      </c>
      <c r="H136" s="219" t="s">
        <v>435</v>
      </c>
      <c r="I136" s="223"/>
      <c r="J136" s="223"/>
      <c r="K136" s="224"/>
      <c r="L136" s="225">
        <v>0</v>
      </c>
      <c r="N136" s="219" t="s">
        <v>435</v>
      </c>
      <c r="O136" s="223"/>
      <c r="P136" s="223"/>
      <c r="Q136" s="224"/>
      <c r="R136" s="225">
        <v>0</v>
      </c>
    </row>
    <row r="137" spans="2:18" ht="15.75" thickBot="1" x14ac:dyDescent="0.3">
      <c r="B137" s="228"/>
      <c r="C137" s="229"/>
      <c r="D137" s="229"/>
      <c r="E137" s="229">
        <v>1000</v>
      </c>
      <c r="F137" s="323">
        <f>F135/E137</f>
        <v>26.914921000000007</v>
      </c>
      <c r="H137" s="228"/>
      <c r="I137" s="229"/>
      <c r="J137" s="229"/>
      <c r="K137" s="229">
        <v>11000</v>
      </c>
      <c r="L137" s="332">
        <f>L135/K137</f>
        <v>6.2471499999999995</v>
      </c>
      <c r="N137" s="228"/>
      <c r="O137" s="229"/>
      <c r="P137" s="229"/>
      <c r="Q137" s="229">
        <v>700</v>
      </c>
      <c r="R137" s="323">
        <f>R135/Q137</f>
        <v>18.542857142857144</v>
      </c>
    </row>
    <row r="138" spans="2:18" ht="13.5" thickBot="1" x14ac:dyDescent="0.25"/>
    <row r="139" spans="2:18" ht="15" x14ac:dyDescent="0.25">
      <c r="B139" s="354" t="s">
        <v>748</v>
      </c>
      <c r="C139" s="355"/>
      <c r="D139" s="355"/>
      <c r="E139" s="355"/>
      <c r="F139" s="356"/>
      <c r="H139" s="354" t="s">
        <v>760</v>
      </c>
      <c r="I139" s="355"/>
      <c r="J139" s="355"/>
      <c r="K139" s="355"/>
      <c r="L139" s="356"/>
      <c r="N139" s="354" t="s">
        <v>770</v>
      </c>
      <c r="O139" s="355"/>
      <c r="P139" s="355"/>
      <c r="Q139" s="355"/>
      <c r="R139" s="356"/>
    </row>
    <row r="140" spans="2:18" ht="15.75" thickBot="1" x14ac:dyDescent="0.3">
      <c r="B140" s="197" t="s">
        <v>3</v>
      </c>
      <c r="C140" s="197" t="s">
        <v>507</v>
      </c>
      <c r="D140" s="197" t="s">
        <v>508</v>
      </c>
      <c r="E140" s="197" t="s">
        <v>513</v>
      </c>
      <c r="F140" s="256" t="s">
        <v>509</v>
      </c>
      <c r="H140" s="197" t="s">
        <v>3</v>
      </c>
      <c r="I140" s="197" t="s">
        <v>507</v>
      </c>
      <c r="J140" s="197" t="s">
        <v>508</v>
      </c>
      <c r="K140" s="197" t="s">
        <v>513</v>
      </c>
      <c r="L140" s="256" t="s">
        <v>509</v>
      </c>
      <c r="N140" s="197" t="s">
        <v>3</v>
      </c>
      <c r="O140" s="197" t="s">
        <v>507</v>
      </c>
      <c r="P140" s="197" t="s">
        <v>508</v>
      </c>
      <c r="Q140" s="197" t="s">
        <v>513</v>
      </c>
      <c r="R140" s="256" t="s">
        <v>509</v>
      </c>
    </row>
    <row r="141" spans="2:18" ht="15.75" x14ac:dyDescent="0.25">
      <c r="B141" s="257" t="s">
        <v>749</v>
      </c>
      <c r="C141" s="258">
        <v>650</v>
      </c>
      <c r="D141" s="259" t="s">
        <v>12</v>
      </c>
      <c r="E141" s="321">
        <v>3.8</v>
      </c>
      <c r="F141" s="261">
        <f>C141*E141</f>
        <v>2470</v>
      </c>
      <c r="H141" s="257" t="s">
        <v>761</v>
      </c>
      <c r="I141" s="258">
        <v>1155</v>
      </c>
      <c r="J141" s="259" t="s">
        <v>12</v>
      </c>
      <c r="K141" s="331">
        <v>1.98</v>
      </c>
      <c r="L141" s="261">
        <f>I141*K141</f>
        <v>2286.9</v>
      </c>
      <c r="N141" s="257" t="s">
        <v>592</v>
      </c>
      <c r="O141" s="258">
        <v>800</v>
      </c>
      <c r="P141" s="259" t="s">
        <v>12</v>
      </c>
      <c r="Q141" s="331">
        <v>6.11</v>
      </c>
      <c r="R141" s="261">
        <f>O141*Q141</f>
        <v>4888</v>
      </c>
    </row>
    <row r="142" spans="2:18" ht="15" x14ac:dyDescent="0.25">
      <c r="B142" s="262" t="s">
        <v>750</v>
      </c>
      <c r="C142" s="108">
        <v>100</v>
      </c>
      <c r="D142" s="254" t="s">
        <v>12</v>
      </c>
      <c r="E142" s="320">
        <v>5</v>
      </c>
      <c r="F142" s="203">
        <f t="shared" ref="F142:F148" si="36">C142*E142</f>
        <v>500</v>
      </c>
      <c r="H142" s="262" t="s">
        <v>762</v>
      </c>
      <c r="I142" s="108">
        <v>100</v>
      </c>
      <c r="J142" s="254" t="s">
        <v>12</v>
      </c>
      <c r="K142" s="320">
        <v>9.4</v>
      </c>
      <c r="L142" s="203">
        <f t="shared" ref="L142:L148" si="37">I142*K142</f>
        <v>940</v>
      </c>
      <c r="N142" s="262" t="s">
        <v>593</v>
      </c>
      <c r="O142" s="108">
        <v>10</v>
      </c>
      <c r="P142" s="254" t="s">
        <v>12</v>
      </c>
      <c r="Q142" s="320">
        <v>56.6</v>
      </c>
      <c r="R142" s="203">
        <f t="shared" ref="R142:R148" si="38">O142*Q142</f>
        <v>566</v>
      </c>
    </row>
    <row r="143" spans="2:18" ht="15" x14ac:dyDescent="0.25">
      <c r="B143" s="262" t="s">
        <v>646</v>
      </c>
      <c r="C143" s="108">
        <v>50</v>
      </c>
      <c r="D143" s="254" t="s">
        <v>12</v>
      </c>
      <c r="E143" s="320">
        <v>4.4000000000000004</v>
      </c>
      <c r="F143" s="203">
        <f t="shared" si="36"/>
        <v>220.00000000000003</v>
      </c>
      <c r="H143" s="262" t="s">
        <v>763</v>
      </c>
      <c r="I143" s="108">
        <v>100</v>
      </c>
      <c r="J143" s="254" t="s">
        <v>12</v>
      </c>
      <c r="K143" s="295">
        <v>37.479999999999997</v>
      </c>
      <c r="L143" s="203">
        <f t="shared" si="37"/>
        <v>3747.9999999999995</v>
      </c>
      <c r="N143" s="262" t="s">
        <v>594</v>
      </c>
      <c r="O143" s="108">
        <v>50</v>
      </c>
      <c r="P143" s="254" t="s">
        <v>12</v>
      </c>
      <c r="Q143" s="320">
        <v>45</v>
      </c>
      <c r="R143" s="203">
        <f t="shared" si="38"/>
        <v>2250</v>
      </c>
    </row>
    <row r="144" spans="2:18" ht="15" x14ac:dyDescent="0.25">
      <c r="B144" s="262" t="s">
        <v>616</v>
      </c>
      <c r="C144" s="108">
        <v>10</v>
      </c>
      <c r="D144" s="254" t="s">
        <v>12</v>
      </c>
      <c r="E144" s="253">
        <v>2.6</v>
      </c>
      <c r="F144" s="203">
        <f t="shared" si="36"/>
        <v>26</v>
      </c>
      <c r="H144" s="262" t="s">
        <v>764</v>
      </c>
      <c r="I144" s="108">
        <v>1500</v>
      </c>
      <c r="J144" s="254" t="s">
        <v>12</v>
      </c>
      <c r="K144" s="320">
        <v>4.4000000000000004</v>
      </c>
      <c r="L144" s="203">
        <f t="shared" si="37"/>
        <v>6600.0000000000009</v>
      </c>
      <c r="N144" s="262" t="s">
        <v>595</v>
      </c>
      <c r="O144" s="108">
        <v>30</v>
      </c>
      <c r="P144" s="254" t="s">
        <v>12</v>
      </c>
      <c r="Q144" s="253">
        <v>5</v>
      </c>
      <c r="R144" s="203">
        <f t="shared" si="38"/>
        <v>150</v>
      </c>
    </row>
    <row r="145" spans="2:18" ht="15.75" x14ac:dyDescent="0.25">
      <c r="B145" s="262"/>
      <c r="C145" s="108"/>
      <c r="D145" s="255"/>
      <c r="E145" s="253"/>
      <c r="F145" s="203">
        <f t="shared" si="36"/>
        <v>0</v>
      </c>
      <c r="H145" s="262" t="s">
        <v>765</v>
      </c>
      <c r="I145" s="108">
        <v>200</v>
      </c>
      <c r="J145" s="254" t="s">
        <v>59</v>
      </c>
      <c r="K145" s="320">
        <v>5</v>
      </c>
      <c r="L145" s="203">
        <f t="shared" si="37"/>
        <v>1000</v>
      </c>
      <c r="N145" s="262" t="s">
        <v>596</v>
      </c>
      <c r="O145" s="108">
        <v>100</v>
      </c>
      <c r="P145" s="254" t="s">
        <v>108</v>
      </c>
      <c r="Q145" s="295">
        <v>3.99</v>
      </c>
      <c r="R145" s="203">
        <f t="shared" si="38"/>
        <v>399</v>
      </c>
    </row>
    <row r="146" spans="2:18" ht="15.75" x14ac:dyDescent="0.25">
      <c r="B146" s="262"/>
      <c r="C146" s="108"/>
      <c r="D146" s="255"/>
      <c r="E146" s="253"/>
      <c r="F146" s="203">
        <f t="shared" si="36"/>
        <v>0</v>
      </c>
      <c r="H146" s="262" t="s">
        <v>679</v>
      </c>
      <c r="I146" s="108">
        <v>750</v>
      </c>
      <c r="J146" s="254" t="s">
        <v>59</v>
      </c>
      <c r="K146" s="253">
        <v>21.1</v>
      </c>
      <c r="L146" s="203">
        <f t="shared" si="37"/>
        <v>15825.000000000002</v>
      </c>
      <c r="N146" s="262" t="s">
        <v>598</v>
      </c>
      <c r="O146" s="108">
        <v>500</v>
      </c>
      <c r="P146" s="254" t="s">
        <v>108</v>
      </c>
      <c r="Q146" s="253">
        <v>2.6</v>
      </c>
      <c r="R146" s="203">
        <f t="shared" si="38"/>
        <v>1300</v>
      </c>
    </row>
    <row r="147" spans="2:18" ht="15.75" x14ac:dyDescent="0.25">
      <c r="B147" s="262"/>
      <c r="C147" s="108"/>
      <c r="D147" s="255"/>
      <c r="E147" s="253"/>
      <c r="F147" s="203">
        <f t="shared" si="36"/>
        <v>0</v>
      </c>
      <c r="H147" s="262"/>
      <c r="I147" s="108">
        <f>SUM(I141:I146)</f>
        <v>3805</v>
      </c>
      <c r="J147" s="255"/>
      <c r="K147" s="253"/>
      <c r="L147" s="203">
        <f t="shared" si="37"/>
        <v>0</v>
      </c>
      <c r="N147" s="262"/>
      <c r="O147" s="108">
        <f>SUM(O141:O146)</f>
        <v>1490</v>
      </c>
      <c r="P147" s="255"/>
      <c r="Q147" s="253"/>
      <c r="R147" s="203">
        <f t="shared" si="38"/>
        <v>0</v>
      </c>
    </row>
    <row r="148" spans="2:18" ht="15.75" x14ac:dyDescent="0.25">
      <c r="B148" s="265"/>
      <c r="C148" s="108"/>
      <c r="D148" s="255"/>
      <c r="E148" s="253"/>
      <c r="F148" s="203">
        <f t="shared" si="36"/>
        <v>0</v>
      </c>
      <c r="H148" s="265"/>
      <c r="I148" s="108"/>
      <c r="J148" s="255"/>
      <c r="K148" s="253"/>
      <c r="L148" s="203">
        <f t="shared" si="37"/>
        <v>0</v>
      </c>
      <c r="N148" s="265"/>
      <c r="O148" s="108"/>
      <c r="P148" s="255"/>
      <c r="Q148" s="253"/>
      <c r="R148" s="203">
        <f t="shared" si="38"/>
        <v>0</v>
      </c>
    </row>
    <row r="149" spans="2:18" ht="15.75" x14ac:dyDescent="0.25">
      <c r="B149" s="265"/>
      <c r="C149" s="108"/>
      <c r="D149" s="255"/>
      <c r="E149" s="253"/>
      <c r="F149" s="203"/>
      <c r="H149" s="265"/>
      <c r="I149" s="108"/>
      <c r="J149" s="255"/>
      <c r="K149" s="253"/>
      <c r="L149" s="203"/>
      <c r="N149" s="265"/>
      <c r="O149" s="108"/>
      <c r="P149" s="255"/>
      <c r="Q149" s="253"/>
      <c r="R149" s="203"/>
    </row>
    <row r="150" spans="2:18" ht="15.75" x14ac:dyDescent="0.25">
      <c r="B150" s="266"/>
      <c r="C150" s="108"/>
      <c r="D150" s="255"/>
      <c r="E150" s="253"/>
      <c r="F150" s="203">
        <f t="shared" ref="F150" si="39">C150*E150</f>
        <v>0</v>
      </c>
      <c r="H150" s="266"/>
      <c r="I150" s="108"/>
      <c r="J150" s="255"/>
      <c r="K150" s="253"/>
      <c r="L150" s="203">
        <f t="shared" ref="L150" si="40">I150*K150</f>
        <v>0</v>
      </c>
      <c r="N150" s="266"/>
      <c r="O150" s="108"/>
      <c r="P150" s="255"/>
      <c r="Q150" s="253"/>
      <c r="R150" s="203">
        <f t="shared" ref="R150" si="41">O150*Q150</f>
        <v>0</v>
      </c>
    </row>
    <row r="151" spans="2:18" ht="15" x14ac:dyDescent="0.25">
      <c r="B151" s="216" t="s">
        <v>512</v>
      </c>
      <c r="C151" s="217"/>
      <c r="D151" s="217"/>
      <c r="E151" s="217"/>
      <c r="F151" s="218"/>
      <c r="H151" s="216" t="s">
        <v>512</v>
      </c>
      <c r="I151" s="217"/>
      <c r="J151" s="217"/>
      <c r="K151" s="217"/>
      <c r="L151" s="218"/>
      <c r="N151" s="216" t="s">
        <v>512</v>
      </c>
      <c r="O151" s="217"/>
      <c r="P151" s="217"/>
      <c r="Q151" s="217"/>
      <c r="R151" s="218"/>
    </row>
    <row r="152" spans="2:18" ht="15" x14ac:dyDescent="0.25">
      <c r="B152" s="219"/>
      <c r="C152" s="220"/>
      <c r="D152" s="221"/>
      <c r="E152" s="221"/>
      <c r="F152" s="222">
        <f>C152*140</f>
        <v>0</v>
      </c>
      <c r="H152" s="219"/>
      <c r="I152" s="220"/>
      <c r="J152" s="221"/>
      <c r="K152" s="221"/>
      <c r="L152" s="222">
        <f>I152*140</f>
        <v>0</v>
      </c>
      <c r="N152" s="219"/>
      <c r="O152" s="220"/>
      <c r="P152" s="221"/>
      <c r="Q152" s="221"/>
      <c r="R152" s="222">
        <f>O152*140</f>
        <v>0</v>
      </c>
    </row>
    <row r="153" spans="2:18" ht="15" x14ac:dyDescent="0.25">
      <c r="B153" s="219"/>
      <c r="C153" s="220"/>
      <c r="D153" s="221"/>
      <c r="E153" s="221"/>
      <c r="F153" s="222">
        <f t="shared" ref="F153:F154" si="42">C153*140</f>
        <v>0</v>
      </c>
      <c r="H153" s="219"/>
      <c r="I153" s="220"/>
      <c r="J153" s="221"/>
      <c r="K153" s="221"/>
      <c r="L153" s="222">
        <f t="shared" ref="L153:L154" si="43">I153*140</f>
        <v>0</v>
      </c>
      <c r="N153" s="219"/>
      <c r="O153" s="220"/>
      <c r="P153" s="221"/>
      <c r="Q153" s="221"/>
      <c r="R153" s="222">
        <f t="shared" ref="R153:R154" si="44">O153*140</f>
        <v>0</v>
      </c>
    </row>
    <row r="154" spans="2:18" ht="15" x14ac:dyDescent="0.25">
      <c r="B154" s="219"/>
      <c r="C154" s="220"/>
      <c r="D154" s="221"/>
      <c r="E154" s="221"/>
      <c r="F154" s="222">
        <f t="shared" si="42"/>
        <v>0</v>
      </c>
      <c r="H154" s="219"/>
      <c r="I154" s="220"/>
      <c r="J154" s="221"/>
      <c r="K154" s="221"/>
      <c r="L154" s="222">
        <f t="shared" si="43"/>
        <v>0</v>
      </c>
      <c r="N154" s="219"/>
      <c r="O154" s="220"/>
      <c r="P154" s="221"/>
      <c r="Q154" s="221"/>
      <c r="R154" s="222">
        <f t="shared" si="44"/>
        <v>0</v>
      </c>
    </row>
    <row r="155" spans="2:18" ht="15" x14ac:dyDescent="0.25">
      <c r="B155" s="357" t="s">
        <v>510</v>
      </c>
      <c r="C155" s="358"/>
      <c r="D155" s="358"/>
      <c r="E155" s="358"/>
      <c r="F155" s="359"/>
      <c r="H155" s="357" t="s">
        <v>510</v>
      </c>
      <c r="I155" s="358"/>
      <c r="J155" s="358"/>
      <c r="K155" s="358"/>
      <c r="L155" s="359"/>
      <c r="N155" s="357" t="s">
        <v>510</v>
      </c>
      <c r="O155" s="358"/>
      <c r="P155" s="358"/>
      <c r="Q155" s="358"/>
      <c r="R155" s="359"/>
    </row>
    <row r="156" spans="2:18" ht="15" x14ac:dyDescent="0.25">
      <c r="B156" s="219" t="s">
        <v>511</v>
      </c>
      <c r="C156" s="223"/>
      <c r="D156" s="223"/>
      <c r="E156" s="224"/>
      <c r="F156" s="225">
        <f>(F141+F142+F143+F144+F145+F146+F147+F148+F150+F154)</f>
        <v>3216</v>
      </c>
      <c r="H156" s="219" t="s">
        <v>511</v>
      </c>
      <c r="I156" s="223"/>
      <c r="J156" s="223"/>
      <c r="K156" s="224"/>
      <c r="L156" s="225">
        <f>(L141+L142+L143+L144+L145+L146+L147+L148+L150+L154)</f>
        <v>30399.9</v>
      </c>
      <c r="N156" s="219" t="s">
        <v>511</v>
      </c>
      <c r="O156" s="223"/>
      <c r="P156" s="223"/>
      <c r="Q156" s="224"/>
      <c r="R156" s="225">
        <f>(R141+R142+R143+R144+R145+R146+R147+R148+R150+R154)</f>
        <v>9553</v>
      </c>
    </row>
    <row r="157" spans="2:18" ht="15" x14ac:dyDescent="0.25">
      <c r="B157" s="226" t="s">
        <v>17</v>
      </c>
      <c r="C157" s="223"/>
      <c r="D157" s="223"/>
      <c r="E157" s="224"/>
      <c r="F157" s="227">
        <f>F156*0.1</f>
        <v>321.60000000000002</v>
      </c>
      <c r="H157" s="226" t="s">
        <v>17</v>
      </c>
      <c r="I157" s="223"/>
      <c r="J157" s="223"/>
      <c r="K157" s="224"/>
      <c r="L157" s="227">
        <f>L156*0.1</f>
        <v>3039.9900000000002</v>
      </c>
      <c r="N157" s="226" t="s">
        <v>17</v>
      </c>
      <c r="O157" s="223"/>
      <c r="P157" s="223"/>
      <c r="Q157" s="224"/>
      <c r="R157" s="227">
        <f>R156*0.1</f>
        <v>955.30000000000007</v>
      </c>
    </row>
    <row r="158" spans="2:18" ht="15" x14ac:dyDescent="0.25">
      <c r="B158" s="226" t="s">
        <v>18</v>
      </c>
      <c r="C158" s="223"/>
      <c r="D158" s="223"/>
      <c r="E158" s="224"/>
      <c r="F158" s="227">
        <f>SUM(F156:F157)</f>
        <v>3537.6</v>
      </c>
      <c r="H158" s="226" t="s">
        <v>18</v>
      </c>
      <c r="I158" s="223"/>
      <c r="J158" s="223"/>
      <c r="K158" s="224"/>
      <c r="L158" s="227">
        <f>SUM(L156:L157)</f>
        <v>33439.89</v>
      </c>
      <c r="N158" s="226" t="s">
        <v>18</v>
      </c>
      <c r="O158" s="223"/>
      <c r="P158" s="223"/>
      <c r="Q158" s="224"/>
      <c r="R158" s="227">
        <f>SUM(R156:R157)</f>
        <v>10508.3</v>
      </c>
    </row>
    <row r="159" spans="2:18" ht="15" x14ac:dyDescent="0.25">
      <c r="B159" s="219" t="s">
        <v>435</v>
      </c>
      <c r="C159" s="223"/>
      <c r="D159" s="223"/>
      <c r="E159" s="224"/>
      <c r="F159" s="225">
        <v>0</v>
      </c>
      <c r="H159" s="219" t="s">
        <v>435</v>
      </c>
      <c r="I159" s="223"/>
      <c r="J159" s="223"/>
      <c r="K159" s="224"/>
      <c r="L159" s="225">
        <v>0</v>
      </c>
      <c r="N159" s="219" t="s">
        <v>435</v>
      </c>
      <c r="O159" s="223"/>
      <c r="P159" s="223"/>
      <c r="Q159" s="224"/>
      <c r="R159" s="225">
        <v>0</v>
      </c>
    </row>
    <row r="160" spans="2:18" ht="15.75" thickBot="1" x14ac:dyDescent="0.3">
      <c r="B160" s="228"/>
      <c r="C160" s="229"/>
      <c r="D160" s="229"/>
      <c r="E160" s="229">
        <v>810</v>
      </c>
      <c r="F160" s="323">
        <f>F158/E160</f>
        <v>4.3674074074074074</v>
      </c>
      <c r="H160" s="228"/>
      <c r="I160" s="229"/>
      <c r="J160" s="229"/>
      <c r="K160" s="229">
        <v>3800</v>
      </c>
      <c r="L160" s="323">
        <f>L158/K160</f>
        <v>8.7999710526315784</v>
      </c>
      <c r="N160" s="228"/>
      <c r="O160" s="229"/>
      <c r="P160" s="229"/>
      <c r="Q160" s="229">
        <v>1290</v>
      </c>
      <c r="R160" s="332">
        <f>R158/Q160</f>
        <v>8.1459689922480614</v>
      </c>
    </row>
    <row r="161" spans="2:12" ht="13.5" thickBot="1" x14ac:dyDescent="0.25"/>
    <row r="162" spans="2:12" ht="15" x14ac:dyDescent="0.25">
      <c r="B162" s="354" t="s">
        <v>769</v>
      </c>
      <c r="C162" s="355"/>
      <c r="D162" s="355"/>
      <c r="E162" s="355"/>
      <c r="F162" s="356"/>
      <c r="H162" s="354" t="s">
        <v>527</v>
      </c>
      <c r="I162" s="355"/>
      <c r="J162" s="355"/>
      <c r="K162" s="355"/>
      <c r="L162" s="356"/>
    </row>
    <row r="163" spans="2:12" ht="15.75" thickBot="1" x14ac:dyDescent="0.3">
      <c r="B163" s="197" t="s">
        <v>3</v>
      </c>
      <c r="C163" s="197" t="s">
        <v>507</v>
      </c>
      <c r="D163" s="197" t="s">
        <v>508</v>
      </c>
      <c r="E163" s="197" t="s">
        <v>513</v>
      </c>
      <c r="F163" s="256" t="s">
        <v>509</v>
      </c>
      <c r="H163" s="197" t="s">
        <v>3</v>
      </c>
      <c r="I163" s="197" t="s">
        <v>507</v>
      </c>
      <c r="J163" s="197" t="s">
        <v>508</v>
      </c>
      <c r="K163" s="197" t="s">
        <v>513</v>
      </c>
      <c r="L163" s="256" t="s">
        <v>509</v>
      </c>
    </row>
    <row r="164" spans="2:12" ht="15.75" x14ac:dyDescent="0.25">
      <c r="B164" s="257" t="s">
        <v>622</v>
      </c>
      <c r="C164" s="258">
        <v>2</v>
      </c>
      <c r="D164" s="259" t="s">
        <v>12</v>
      </c>
      <c r="E164" s="260"/>
      <c r="F164" s="261">
        <f>C164*E164</f>
        <v>0</v>
      </c>
      <c r="H164" s="257"/>
      <c r="I164" s="258"/>
      <c r="J164" s="259" t="s">
        <v>12</v>
      </c>
      <c r="K164" s="260"/>
      <c r="L164" s="261">
        <f>I164*K164</f>
        <v>0</v>
      </c>
    </row>
    <row r="165" spans="2:12" ht="15" x14ac:dyDescent="0.25">
      <c r="B165" s="262" t="s">
        <v>771</v>
      </c>
      <c r="C165" s="108">
        <v>150</v>
      </c>
      <c r="D165" s="254" t="s">
        <v>12</v>
      </c>
      <c r="E165" s="253"/>
      <c r="F165" s="203">
        <f t="shared" ref="F165:F171" si="45">C165*E165</f>
        <v>0</v>
      </c>
      <c r="H165" s="262"/>
      <c r="I165" s="108"/>
      <c r="J165" s="254" t="s">
        <v>12</v>
      </c>
      <c r="K165" s="253"/>
      <c r="L165" s="203">
        <f t="shared" ref="L165:L171" si="46">I165*K165</f>
        <v>0</v>
      </c>
    </row>
    <row r="166" spans="2:12" ht="15" x14ac:dyDescent="0.25">
      <c r="B166" s="262" t="s">
        <v>772</v>
      </c>
      <c r="C166" s="108">
        <v>40</v>
      </c>
      <c r="D166" s="254" t="s">
        <v>12</v>
      </c>
      <c r="E166" s="253"/>
      <c r="F166" s="203">
        <f t="shared" si="45"/>
        <v>0</v>
      </c>
      <c r="H166" s="262"/>
      <c r="I166" s="108"/>
      <c r="J166" s="254" t="s">
        <v>12</v>
      </c>
      <c r="K166" s="253"/>
      <c r="L166" s="203">
        <f t="shared" si="46"/>
        <v>0</v>
      </c>
    </row>
    <row r="167" spans="2:12" ht="15" x14ac:dyDescent="0.25">
      <c r="B167" s="262" t="s">
        <v>773</v>
      </c>
      <c r="C167" s="108">
        <v>10</v>
      </c>
      <c r="D167" s="254" t="s">
        <v>12</v>
      </c>
      <c r="E167" s="253"/>
      <c r="F167" s="203">
        <f t="shared" si="45"/>
        <v>0</v>
      </c>
      <c r="H167" s="262"/>
      <c r="I167" s="108"/>
      <c r="J167" s="254" t="s">
        <v>12</v>
      </c>
      <c r="K167" s="253"/>
      <c r="L167" s="203">
        <f t="shared" si="46"/>
        <v>0</v>
      </c>
    </row>
    <row r="168" spans="2:12" ht="15" x14ac:dyDescent="0.25">
      <c r="B168" s="262" t="s">
        <v>628</v>
      </c>
      <c r="C168" s="108">
        <v>5</v>
      </c>
      <c r="D168" s="254" t="s">
        <v>59</v>
      </c>
      <c r="E168" s="253"/>
      <c r="F168" s="203">
        <f t="shared" si="45"/>
        <v>0</v>
      </c>
      <c r="H168" s="262"/>
      <c r="I168" s="108"/>
      <c r="J168" s="254" t="s">
        <v>59</v>
      </c>
      <c r="K168" s="253"/>
      <c r="L168" s="203">
        <f t="shared" si="46"/>
        <v>0</v>
      </c>
    </row>
    <row r="169" spans="2:12" ht="15" x14ac:dyDescent="0.25">
      <c r="B169" s="262" t="s">
        <v>774</v>
      </c>
      <c r="C169" s="108">
        <v>2500</v>
      </c>
      <c r="D169" s="254" t="s">
        <v>59</v>
      </c>
      <c r="E169" s="253"/>
      <c r="F169" s="203">
        <f t="shared" si="45"/>
        <v>0</v>
      </c>
      <c r="H169" s="262"/>
      <c r="I169" s="108"/>
      <c r="J169" s="254" t="s">
        <v>59</v>
      </c>
      <c r="K169" s="253"/>
      <c r="L169" s="203">
        <f t="shared" si="46"/>
        <v>0</v>
      </c>
    </row>
    <row r="170" spans="2:12" ht="15.75" x14ac:dyDescent="0.25">
      <c r="B170" s="262" t="s">
        <v>775</v>
      </c>
      <c r="C170" s="108">
        <v>40</v>
      </c>
      <c r="D170" s="255" t="s">
        <v>12</v>
      </c>
      <c r="E170" s="253"/>
      <c r="F170" s="203">
        <f t="shared" si="45"/>
        <v>0</v>
      </c>
      <c r="H170" s="262"/>
      <c r="I170" s="108"/>
      <c r="J170" s="255" t="s">
        <v>12</v>
      </c>
      <c r="K170" s="253"/>
      <c r="L170" s="203">
        <f t="shared" si="46"/>
        <v>0</v>
      </c>
    </row>
    <row r="171" spans="2:12" ht="15.75" x14ac:dyDescent="0.25">
      <c r="B171" s="265" t="s">
        <v>776</v>
      </c>
      <c r="C171" s="108">
        <v>20</v>
      </c>
      <c r="D171" s="255" t="s">
        <v>249</v>
      </c>
      <c r="E171" s="253"/>
      <c r="F171" s="203">
        <f t="shared" si="45"/>
        <v>0</v>
      </c>
      <c r="H171" s="265"/>
      <c r="I171" s="108"/>
      <c r="J171" s="255"/>
      <c r="K171" s="253"/>
      <c r="L171" s="203">
        <f t="shared" si="46"/>
        <v>0</v>
      </c>
    </row>
    <row r="172" spans="2:12" ht="15.75" x14ac:dyDescent="0.25">
      <c r="B172" s="265"/>
      <c r="C172" s="108"/>
      <c r="D172" s="255"/>
      <c r="E172" s="253"/>
      <c r="F172" s="203"/>
      <c r="H172" s="265"/>
      <c r="I172" s="108"/>
      <c r="J172" s="255"/>
      <c r="K172" s="253"/>
      <c r="L172" s="203"/>
    </row>
    <row r="173" spans="2:12" ht="15.75" x14ac:dyDescent="0.25">
      <c r="B173" s="266"/>
      <c r="C173" s="108"/>
      <c r="D173" s="255"/>
      <c r="E173" s="253"/>
      <c r="F173" s="203">
        <f t="shared" ref="F173" si="47">C173*E173</f>
        <v>0</v>
      </c>
      <c r="H173" s="266"/>
      <c r="I173" s="108"/>
      <c r="J173" s="255"/>
      <c r="K173" s="253"/>
      <c r="L173" s="203">
        <f t="shared" ref="L173" si="48">I173*K173</f>
        <v>0</v>
      </c>
    </row>
    <row r="174" spans="2:12" ht="15" x14ac:dyDescent="0.25">
      <c r="B174" s="216" t="s">
        <v>512</v>
      </c>
      <c r="C174" s="217"/>
      <c r="D174" s="217"/>
      <c r="E174" s="217"/>
      <c r="F174" s="218"/>
      <c r="H174" s="216" t="s">
        <v>512</v>
      </c>
      <c r="I174" s="217"/>
      <c r="J174" s="217"/>
      <c r="K174" s="217"/>
      <c r="L174" s="218"/>
    </row>
    <row r="175" spans="2:12" ht="15" x14ac:dyDescent="0.25">
      <c r="B175" s="219"/>
      <c r="C175" s="220"/>
      <c r="D175" s="221"/>
      <c r="E175" s="221"/>
      <c r="F175" s="222">
        <f>C175*140</f>
        <v>0</v>
      </c>
      <c r="H175" s="219"/>
      <c r="I175" s="220"/>
      <c r="J175" s="221"/>
      <c r="K175" s="221"/>
      <c r="L175" s="222">
        <f>I175*140</f>
        <v>0</v>
      </c>
    </row>
    <row r="176" spans="2:12" ht="15" x14ac:dyDescent="0.25">
      <c r="B176" s="219"/>
      <c r="C176" s="220"/>
      <c r="D176" s="221"/>
      <c r="E176" s="221"/>
      <c r="F176" s="222">
        <f t="shared" ref="F176:F177" si="49">C176*140</f>
        <v>0</v>
      </c>
      <c r="H176" s="219"/>
      <c r="I176" s="220"/>
      <c r="J176" s="221"/>
      <c r="K176" s="221"/>
      <c r="L176" s="222">
        <f t="shared" ref="L176:L177" si="50">I176*140</f>
        <v>0</v>
      </c>
    </row>
    <row r="177" spans="2:12" ht="15" x14ac:dyDescent="0.25">
      <c r="B177" s="219"/>
      <c r="C177" s="220"/>
      <c r="D177" s="221"/>
      <c r="E177" s="221"/>
      <c r="F177" s="222">
        <f t="shared" si="49"/>
        <v>0</v>
      </c>
      <c r="H177" s="219"/>
      <c r="I177" s="220"/>
      <c r="J177" s="221"/>
      <c r="K177" s="221"/>
      <c r="L177" s="222">
        <f t="shared" si="50"/>
        <v>0</v>
      </c>
    </row>
    <row r="178" spans="2:12" ht="15" x14ac:dyDescent="0.25">
      <c r="B178" s="357" t="s">
        <v>510</v>
      </c>
      <c r="C178" s="358"/>
      <c r="D178" s="358"/>
      <c r="E178" s="358"/>
      <c r="F178" s="359"/>
      <c r="H178" s="357" t="s">
        <v>510</v>
      </c>
      <c r="I178" s="358"/>
      <c r="J178" s="358"/>
      <c r="K178" s="358"/>
      <c r="L178" s="359"/>
    </row>
    <row r="179" spans="2:12" ht="15" x14ac:dyDescent="0.25">
      <c r="B179" s="219" t="s">
        <v>511</v>
      </c>
      <c r="C179" s="223"/>
      <c r="D179" s="223"/>
      <c r="E179" s="224"/>
      <c r="F179" s="225">
        <f>(F164+F165+F166+F167+F168+F169+F170+F171+F173+F177)</f>
        <v>0</v>
      </c>
      <c r="H179" s="219" t="s">
        <v>511</v>
      </c>
      <c r="I179" s="223"/>
      <c r="J179" s="223"/>
      <c r="K179" s="224"/>
      <c r="L179" s="225">
        <f>(L164+L165+L166+L167+L168+L169+L170+L171+L173+L177)</f>
        <v>0</v>
      </c>
    </row>
    <row r="180" spans="2:12" ht="15" x14ac:dyDescent="0.25">
      <c r="B180" s="226" t="s">
        <v>17</v>
      </c>
      <c r="C180" s="223"/>
      <c r="D180" s="223"/>
      <c r="E180" s="224"/>
      <c r="F180" s="227">
        <f>F179*0.1</f>
        <v>0</v>
      </c>
      <c r="H180" s="226" t="s">
        <v>17</v>
      </c>
      <c r="I180" s="223"/>
      <c r="J180" s="223"/>
      <c r="K180" s="224"/>
      <c r="L180" s="227">
        <f>L179*0.1</f>
        <v>0</v>
      </c>
    </row>
    <row r="181" spans="2:12" ht="15" x14ac:dyDescent="0.25">
      <c r="B181" s="226" t="s">
        <v>18</v>
      </c>
      <c r="C181" s="223"/>
      <c r="D181" s="223"/>
      <c r="E181" s="224"/>
      <c r="F181" s="227">
        <f>SUM(F179:F180)</f>
        <v>0</v>
      </c>
      <c r="H181" s="226" t="s">
        <v>18</v>
      </c>
      <c r="I181" s="223"/>
      <c r="J181" s="223"/>
      <c r="K181" s="224"/>
      <c r="L181" s="227">
        <f>SUM(L179:L180)</f>
        <v>0</v>
      </c>
    </row>
    <row r="182" spans="2:12" ht="15" x14ac:dyDescent="0.25">
      <c r="B182" s="219" t="s">
        <v>435</v>
      </c>
      <c r="C182" s="223"/>
      <c r="D182" s="223"/>
      <c r="E182" s="224"/>
      <c r="F182" s="225">
        <v>30000</v>
      </c>
      <c r="H182" s="219" t="s">
        <v>435</v>
      </c>
      <c r="I182" s="223"/>
      <c r="J182" s="223"/>
      <c r="K182" s="224"/>
      <c r="L182" s="225">
        <v>30000</v>
      </c>
    </row>
    <row r="183" spans="2:12" ht="15.75" thickBot="1" x14ac:dyDescent="0.3">
      <c r="B183" s="228"/>
      <c r="C183" s="229"/>
      <c r="D183" s="229"/>
      <c r="E183" s="229"/>
      <c r="F183" s="230"/>
      <c r="H183" s="228"/>
      <c r="I183" s="229"/>
      <c r="J183" s="229"/>
      <c r="K183" s="229"/>
      <c r="L183" s="230"/>
    </row>
  </sheetData>
  <mergeCells count="46">
    <mergeCell ref="B70:F70"/>
    <mergeCell ref="B85:F85"/>
    <mergeCell ref="H70:L70"/>
    <mergeCell ref="H85:L85"/>
    <mergeCell ref="N70:R70"/>
    <mergeCell ref="N85:R85"/>
    <mergeCell ref="B48:F48"/>
    <mergeCell ref="H48:L48"/>
    <mergeCell ref="N48:R48"/>
    <mergeCell ref="B63:F63"/>
    <mergeCell ref="H63:L63"/>
    <mergeCell ref="N63:R63"/>
    <mergeCell ref="B25:F25"/>
    <mergeCell ref="H25:L25"/>
    <mergeCell ref="N25:R25"/>
    <mergeCell ref="B41:F41"/>
    <mergeCell ref="H41:L41"/>
    <mergeCell ref="N41:R41"/>
    <mergeCell ref="B2:F2"/>
    <mergeCell ref="H2:L2"/>
    <mergeCell ref="N2:R2"/>
    <mergeCell ref="B18:F18"/>
    <mergeCell ref="H18:L18"/>
    <mergeCell ref="N18:R18"/>
    <mergeCell ref="N139:R139"/>
    <mergeCell ref="N155:R155"/>
    <mergeCell ref="B92:F92"/>
    <mergeCell ref="B109:F109"/>
    <mergeCell ref="H92:L92"/>
    <mergeCell ref="H109:L109"/>
    <mergeCell ref="N92:R92"/>
    <mergeCell ref="N109:R109"/>
    <mergeCell ref="N132:R132"/>
    <mergeCell ref="B116:F116"/>
    <mergeCell ref="B132:F132"/>
    <mergeCell ref="H116:L116"/>
    <mergeCell ref="H132:L132"/>
    <mergeCell ref="N116:R116"/>
    <mergeCell ref="B162:F162"/>
    <mergeCell ref="B178:F178"/>
    <mergeCell ref="H162:L162"/>
    <mergeCell ref="H178:L178"/>
    <mergeCell ref="B139:F139"/>
    <mergeCell ref="B155:F155"/>
    <mergeCell ref="H139:L139"/>
    <mergeCell ref="H155:L1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BBF9-35C2-4E52-AF96-D814E9E6D5C4}">
  <dimension ref="B1:X44"/>
  <sheetViews>
    <sheetView topLeftCell="M2" workbookViewId="0">
      <selection activeCell="V18" sqref="V18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  <col min="19" max="19" width="1.7109375" customWidth="1"/>
    <col min="20" max="20" width="43.42578125" bestFit="1" customWidth="1"/>
  </cols>
  <sheetData>
    <row r="1" spans="2:24" ht="13.5" thickBot="1" x14ac:dyDescent="0.25"/>
    <row r="2" spans="2:24" ht="15" x14ac:dyDescent="0.25">
      <c r="B2" s="354" t="s">
        <v>556</v>
      </c>
      <c r="C2" s="355"/>
      <c r="D2" s="355"/>
      <c r="E2" s="355"/>
      <c r="F2" s="356"/>
      <c r="H2" s="354" t="s">
        <v>196</v>
      </c>
      <c r="I2" s="355"/>
      <c r="J2" s="355"/>
      <c r="K2" s="355"/>
      <c r="L2" s="356"/>
      <c r="N2" s="354" t="s">
        <v>555</v>
      </c>
      <c r="O2" s="355"/>
      <c r="P2" s="355"/>
      <c r="Q2" s="355"/>
      <c r="R2" s="356"/>
      <c r="T2" s="354" t="s">
        <v>560</v>
      </c>
      <c r="U2" s="355"/>
      <c r="V2" s="355"/>
      <c r="W2" s="355"/>
      <c r="X2" s="356"/>
    </row>
    <row r="3" spans="2:24" ht="15.75" thickBot="1" x14ac:dyDescent="0.3">
      <c r="B3" s="327" t="s">
        <v>3</v>
      </c>
      <c r="C3" s="197" t="s">
        <v>507</v>
      </c>
      <c r="D3" s="197" t="s">
        <v>508</v>
      </c>
      <c r="E3" s="197" t="s">
        <v>513</v>
      </c>
      <c r="F3" s="328" t="s">
        <v>509</v>
      </c>
      <c r="H3" s="327" t="s">
        <v>3</v>
      </c>
      <c r="I3" s="197" t="s">
        <v>507</v>
      </c>
      <c r="J3" s="197" t="s">
        <v>508</v>
      </c>
      <c r="K3" s="197" t="s">
        <v>513</v>
      </c>
      <c r="L3" s="328" t="s">
        <v>509</v>
      </c>
      <c r="N3" s="327" t="s">
        <v>3</v>
      </c>
      <c r="O3" s="197" t="s">
        <v>507</v>
      </c>
      <c r="P3" s="197" t="s">
        <v>508</v>
      </c>
      <c r="Q3" s="197" t="s">
        <v>513</v>
      </c>
      <c r="R3" s="328" t="s">
        <v>509</v>
      </c>
      <c r="T3" s="327" t="s">
        <v>3</v>
      </c>
      <c r="U3" s="197" t="s">
        <v>507</v>
      </c>
      <c r="V3" s="197" t="s">
        <v>508</v>
      </c>
      <c r="W3" s="197" t="s">
        <v>513</v>
      </c>
      <c r="X3" s="328" t="s">
        <v>509</v>
      </c>
    </row>
    <row r="4" spans="2:24" ht="15.75" x14ac:dyDescent="0.25">
      <c r="B4" s="266" t="s">
        <v>557</v>
      </c>
      <c r="C4" s="108">
        <v>3</v>
      </c>
      <c r="D4" s="259" t="s">
        <v>558</v>
      </c>
      <c r="E4" s="260">
        <v>2000</v>
      </c>
      <c r="F4" s="261">
        <f>C4*E4</f>
        <v>6000</v>
      </c>
      <c r="H4" s="266" t="s">
        <v>197</v>
      </c>
      <c r="I4" s="108">
        <v>2</v>
      </c>
      <c r="J4" s="259" t="s">
        <v>12</v>
      </c>
      <c r="K4" s="260">
        <v>2680</v>
      </c>
      <c r="L4" s="261">
        <f>I4*K4</f>
        <v>5360</v>
      </c>
      <c r="N4" s="333" t="s">
        <v>61</v>
      </c>
      <c r="O4" s="108">
        <v>30</v>
      </c>
      <c r="P4" s="259" t="s">
        <v>12</v>
      </c>
      <c r="Q4" s="260">
        <v>17.18</v>
      </c>
      <c r="R4" s="261">
        <f>O4*Q4</f>
        <v>515.4</v>
      </c>
      <c r="T4" s="266" t="s">
        <v>734</v>
      </c>
      <c r="U4" s="108">
        <v>50</v>
      </c>
      <c r="V4" s="259" t="s">
        <v>12</v>
      </c>
      <c r="W4" s="321">
        <v>59.3</v>
      </c>
      <c r="X4" s="261">
        <f>U4*W4</f>
        <v>2965</v>
      </c>
    </row>
    <row r="5" spans="2:24" ht="15.75" x14ac:dyDescent="0.25">
      <c r="B5" s="266"/>
      <c r="C5" s="108"/>
      <c r="D5" s="254" t="s">
        <v>12</v>
      </c>
      <c r="E5" s="253"/>
      <c r="F5" s="203">
        <f t="shared" ref="F5:F12" si="0">C5*E5</f>
        <v>0</v>
      </c>
      <c r="H5" s="266" t="s">
        <v>192</v>
      </c>
      <c r="I5" s="108">
        <v>150</v>
      </c>
      <c r="J5" s="254" t="s">
        <v>12</v>
      </c>
      <c r="K5" s="253">
        <v>5.83</v>
      </c>
      <c r="L5" s="203">
        <f t="shared" ref="L5:L12" si="1">I5*K5</f>
        <v>874.5</v>
      </c>
      <c r="N5" s="262" t="s">
        <v>62</v>
      </c>
      <c r="O5" s="108">
        <v>25</v>
      </c>
      <c r="P5" s="254" t="s">
        <v>12</v>
      </c>
      <c r="Q5" s="253">
        <v>19.600000000000001</v>
      </c>
      <c r="R5" s="203">
        <f t="shared" ref="R5:R12" si="2">O5*Q5</f>
        <v>490.00000000000006</v>
      </c>
      <c r="T5" s="266" t="s">
        <v>589</v>
      </c>
      <c r="U5" s="108">
        <v>50</v>
      </c>
      <c r="V5" s="254" t="s">
        <v>12</v>
      </c>
      <c r="W5" s="320">
        <v>26.9</v>
      </c>
      <c r="X5" s="203">
        <f t="shared" ref="X5:X12" si="3">U5*W5</f>
        <v>1345</v>
      </c>
    </row>
    <row r="6" spans="2:24" ht="15.75" x14ac:dyDescent="0.25">
      <c r="B6" s="266"/>
      <c r="C6" s="108"/>
      <c r="D6" s="254" t="s">
        <v>12</v>
      </c>
      <c r="E6" s="253"/>
      <c r="F6" s="203">
        <f t="shared" si="0"/>
        <v>0</v>
      </c>
      <c r="H6" s="266" t="s">
        <v>195</v>
      </c>
      <c r="I6" s="108">
        <v>60</v>
      </c>
      <c r="J6" s="254" t="s">
        <v>12</v>
      </c>
      <c r="K6" s="253">
        <v>24.03</v>
      </c>
      <c r="L6" s="203">
        <f t="shared" si="1"/>
        <v>1441.8000000000002</v>
      </c>
      <c r="N6" s="262" t="s">
        <v>63</v>
      </c>
      <c r="O6" s="108">
        <v>25</v>
      </c>
      <c r="P6" s="254" t="s">
        <v>12</v>
      </c>
      <c r="Q6" s="253">
        <v>11.4</v>
      </c>
      <c r="R6" s="203">
        <f t="shared" si="2"/>
        <v>285</v>
      </c>
      <c r="T6" s="266" t="s">
        <v>733</v>
      </c>
      <c r="U6" s="108">
        <v>30</v>
      </c>
      <c r="V6" s="254" t="s">
        <v>12</v>
      </c>
      <c r="W6" s="320">
        <v>6.1</v>
      </c>
      <c r="X6" s="203">
        <f t="shared" si="3"/>
        <v>183</v>
      </c>
    </row>
    <row r="7" spans="2:24" ht="15.75" x14ac:dyDescent="0.25">
      <c r="B7" s="266"/>
      <c r="C7" s="108"/>
      <c r="D7" s="254" t="s">
        <v>59</v>
      </c>
      <c r="E7" s="253"/>
      <c r="F7" s="203">
        <f t="shared" si="0"/>
        <v>0</v>
      </c>
      <c r="H7" s="266"/>
      <c r="I7" s="108"/>
      <c r="J7" s="254"/>
      <c r="K7" s="253"/>
      <c r="L7" s="203">
        <f t="shared" si="1"/>
        <v>0</v>
      </c>
      <c r="N7" s="262" t="s">
        <v>64</v>
      </c>
      <c r="O7" s="108">
        <v>6</v>
      </c>
      <c r="P7" s="254" t="s">
        <v>59</v>
      </c>
      <c r="Q7" s="253">
        <v>92.58</v>
      </c>
      <c r="R7" s="203">
        <f t="shared" si="2"/>
        <v>555.48</v>
      </c>
      <c r="T7" s="266" t="s">
        <v>563</v>
      </c>
      <c r="U7" s="108">
        <v>25</v>
      </c>
      <c r="V7" s="254" t="s">
        <v>59</v>
      </c>
      <c r="W7" s="320">
        <v>20</v>
      </c>
      <c r="X7" s="203">
        <f t="shared" si="3"/>
        <v>500</v>
      </c>
    </row>
    <row r="8" spans="2:24" ht="15.75" x14ac:dyDescent="0.25">
      <c r="B8" s="266"/>
      <c r="C8" s="108"/>
      <c r="D8" s="254"/>
      <c r="E8" s="253"/>
      <c r="F8" s="203">
        <f t="shared" si="0"/>
        <v>0</v>
      </c>
      <c r="H8" s="266"/>
      <c r="I8" s="108"/>
      <c r="J8" s="254"/>
      <c r="K8" s="253"/>
      <c r="L8" s="203">
        <f t="shared" si="1"/>
        <v>0</v>
      </c>
      <c r="N8" s="263" t="s">
        <v>56</v>
      </c>
      <c r="O8" s="108">
        <v>15</v>
      </c>
      <c r="P8" s="254"/>
      <c r="Q8" s="253">
        <v>23.81</v>
      </c>
      <c r="R8" s="203">
        <f t="shared" si="2"/>
        <v>357.15</v>
      </c>
      <c r="T8" s="266" t="s">
        <v>564</v>
      </c>
      <c r="U8" s="108">
        <v>10</v>
      </c>
      <c r="V8" s="254" t="s">
        <v>59</v>
      </c>
      <c r="W8" s="320">
        <v>19.3</v>
      </c>
      <c r="X8" s="203">
        <f t="shared" si="3"/>
        <v>193</v>
      </c>
    </row>
    <row r="9" spans="2:24" ht="15.75" x14ac:dyDescent="0.25">
      <c r="B9" s="266"/>
      <c r="C9" s="108"/>
      <c r="D9" s="254"/>
      <c r="E9" s="253"/>
      <c r="F9" s="203">
        <f t="shared" si="0"/>
        <v>0</v>
      </c>
      <c r="H9" s="266"/>
      <c r="I9" s="108"/>
      <c r="J9" s="254"/>
      <c r="K9" s="253"/>
      <c r="L9" s="203">
        <f t="shared" si="1"/>
        <v>0</v>
      </c>
      <c r="N9" s="266"/>
      <c r="O9" s="108"/>
      <c r="P9" s="254"/>
      <c r="Q9" s="253"/>
      <c r="R9" s="203">
        <f t="shared" si="2"/>
        <v>0</v>
      </c>
      <c r="T9" s="266"/>
      <c r="U9" s="108"/>
      <c r="V9" s="254" t="s">
        <v>59</v>
      </c>
      <c r="W9" s="253"/>
      <c r="X9" s="203">
        <f t="shared" si="3"/>
        <v>0</v>
      </c>
    </row>
    <row r="10" spans="2:24" ht="15.75" x14ac:dyDescent="0.25">
      <c r="B10" s="273"/>
      <c r="C10" s="267"/>
      <c r="D10" s="255"/>
      <c r="E10" s="253"/>
      <c r="F10" s="203">
        <f t="shared" si="0"/>
        <v>0</v>
      </c>
      <c r="H10" s="273"/>
      <c r="I10" s="267"/>
      <c r="J10" s="255"/>
      <c r="K10" s="253"/>
      <c r="L10" s="203">
        <f t="shared" si="1"/>
        <v>0</v>
      </c>
      <c r="N10" s="273"/>
      <c r="O10" s="267"/>
      <c r="P10" s="255"/>
      <c r="Q10" s="253"/>
      <c r="R10" s="203">
        <f t="shared" si="2"/>
        <v>0</v>
      </c>
      <c r="T10" s="273"/>
      <c r="U10" s="267"/>
      <c r="V10" s="255"/>
      <c r="W10" s="253"/>
      <c r="X10" s="203">
        <f t="shared" si="3"/>
        <v>0</v>
      </c>
    </row>
    <row r="11" spans="2:24" ht="15.75" x14ac:dyDescent="0.25">
      <c r="B11" s="265"/>
      <c r="C11" s="108"/>
      <c r="D11" s="255"/>
      <c r="E11" s="253"/>
      <c r="F11" s="203">
        <f t="shared" si="0"/>
        <v>0</v>
      </c>
      <c r="H11" s="265"/>
      <c r="I11" s="108"/>
      <c r="J11" s="255"/>
      <c r="K11" s="253"/>
      <c r="L11" s="203">
        <f t="shared" si="1"/>
        <v>0</v>
      </c>
      <c r="N11" s="265"/>
      <c r="O11" s="108"/>
      <c r="P11" s="255"/>
      <c r="Q11" s="253"/>
      <c r="R11" s="203">
        <f t="shared" si="2"/>
        <v>0</v>
      </c>
      <c r="T11" s="265"/>
      <c r="U11" s="108"/>
      <c r="V11" s="255"/>
      <c r="W11" s="253"/>
      <c r="X11" s="203">
        <f t="shared" si="3"/>
        <v>0</v>
      </c>
    </row>
    <row r="12" spans="2:24" ht="15.75" x14ac:dyDescent="0.25">
      <c r="B12" s="266"/>
      <c r="C12" s="108"/>
      <c r="D12" s="255"/>
      <c r="E12" s="253"/>
      <c r="F12" s="203">
        <f t="shared" si="0"/>
        <v>0</v>
      </c>
      <c r="H12" s="266"/>
      <c r="I12" s="108"/>
      <c r="J12" s="255"/>
      <c r="K12" s="253"/>
      <c r="L12" s="203">
        <f t="shared" si="1"/>
        <v>0</v>
      </c>
      <c r="N12" s="266"/>
      <c r="O12" s="108"/>
      <c r="P12" s="255"/>
      <c r="Q12" s="253"/>
      <c r="R12" s="203">
        <f t="shared" si="2"/>
        <v>0</v>
      </c>
      <c r="T12" s="266"/>
      <c r="U12" s="108"/>
      <c r="V12" s="255"/>
      <c r="W12" s="253"/>
      <c r="X12" s="203">
        <f t="shared" si="3"/>
        <v>0</v>
      </c>
    </row>
    <row r="13" spans="2:24" ht="15" x14ac:dyDescent="0.25">
      <c r="B13" s="216" t="s">
        <v>512</v>
      </c>
      <c r="C13" s="217"/>
      <c r="D13" s="217"/>
      <c r="E13" s="217"/>
      <c r="F13" s="218"/>
      <c r="H13" s="216" t="s">
        <v>512</v>
      </c>
      <c r="I13" s="217"/>
      <c r="J13" s="217"/>
      <c r="K13" s="217"/>
      <c r="L13" s="218"/>
      <c r="N13" s="216" t="s">
        <v>512</v>
      </c>
      <c r="O13" s="217"/>
      <c r="P13" s="217"/>
      <c r="Q13" s="217"/>
      <c r="R13" s="218"/>
      <c r="T13" s="216" t="s">
        <v>512</v>
      </c>
      <c r="U13" s="217"/>
      <c r="V13" s="217"/>
      <c r="W13" s="217"/>
      <c r="X13" s="218"/>
    </row>
    <row r="14" spans="2:24" ht="15" x14ac:dyDescent="0.25">
      <c r="B14" s="219"/>
      <c r="C14" s="220"/>
      <c r="D14" s="221"/>
      <c r="E14" s="221"/>
      <c r="F14" s="222">
        <f>C14*140</f>
        <v>0</v>
      </c>
      <c r="H14" s="219"/>
      <c r="I14" s="220"/>
      <c r="J14" s="221"/>
      <c r="K14" s="221"/>
      <c r="L14" s="222">
        <f>I14*140</f>
        <v>0</v>
      </c>
      <c r="N14" s="219"/>
      <c r="O14" s="220"/>
      <c r="P14" s="221"/>
      <c r="Q14" s="221"/>
      <c r="R14" s="222">
        <f>O14*140</f>
        <v>0</v>
      </c>
      <c r="T14" s="219"/>
      <c r="U14" s="220"/>
      <c r="V14" s="221"/>
      <c r="W14" s="221"/>
      <c r="X14" s="222">
        <f>U14*140</f>
        <v>0</v>
      </c>
    </row>
    <row r="15" spans="2:24" ht="15" x14ac:dyDescent="0.25">
      <c r="B15" s="219"/>
      <c r="C15" s="220"/>
      <c r="D15" s="221"/>
      <c r="E15" s="221"/>
      <c r="F15" s="222">
        <f t="shared" ref="F15:F16" si="4">C15*140</f>
        <v>0</v>
      </c>
      <c r="H15" s="219"/>
      <c r="I15" s="220"/>
      <c r="J15" s="221"/>
      <c r="K15" s="221"/>
      <c r="L15" s="222">
        <f t="shared" ref="L15:L16" si="5">I15*140</f>
        <v>0</v>
      </c>
      <c r="N15" s="219"/>
      <c r="O15" s="220"/>
      <c r="P15" s="221"/>
      <c r="Q15" s="221"/>
      <c r="R15" s="222">
        <f t="shared" ref="R15:R16" si="6">O15*140</f>
        <v>0</v>
      </c>
      <c r="T15" s="219"/>
      <c r="U15" s="220"/>
      <c r="V15" s="221"/>
      <c r="W15" s="221"/>
      <c r="X15" s="222">
        <f t="shared" ref="X15:X16" si="7">U15*140</f>
        <v>0</v>
      </c>
    </row>
    <row r="16" spans="2:24" ht="15" x14ac:dyDescent="0.25">
      <c r="B16" s="219"/>
      <c r="C16" s="220"/>
      <c r="D16" s="221"/>
      <c r="E16" s="221"/>
      <c r="F16" s="222">
        <f t="shared" si="4"/>
        <v>0</v>
      </c>
      <c r="H16" s="219"/>
      <c r="I16" s="220"/>
      <c r="J16" s="221"/>
      <c r="K16" s="221"/>
      <c r="L16" s="222">
        <f t="shared" si="5"/>
        <v>0</v>
      </c>
      <c r="N16" s="219"/>
      <c r="O16" s="220"/>
      <c r="P16" s="221"/>
      <c r="Q16" s="221"/>
      <c r="R16" s="222">
        <f t="shared" si="6"/>
        <v>0</v>
      </c>
      <c r="T16" s="219"/>
      <c r="U16" s="220"/>
      <c r="V16" s="221"/>
      <c r="W16" s="221"/>
      <c r="X16" s="222">
        <f t="shared" si="7"/>
        <v>0</v>
      </c>
    </row>
    <row r="17" spans="2:24" ht="15" x14ac:dyDescent="0.25">
      <c r="B17" s="357" t="s">
        <v>510</v>
      </c>
      <c r="C17" s="358"/>
      <c r="D17" s="358"/>
      <c r="E17" s="358"/>
      <c r="F17" s="359"/>
      <c r="H17" s="357" t="s">
        <v>510</v>
      </c>
      <c r="I17" s="358"/>
      <c r="J17" s="358"/>
      <c r="K17" s="358"/>
      <c r="L17" s="359"/>
      <c r="N17" s="357" t="s">
        <v>510</v>
      </c>
      <c r="O17" s="358"/>
      <c r="P17" s="358"/>
      <c r="Q17" s="358"/>
      <c r="R17" s="359"/>
      <c r="T17" s="357" t="s">
        <v>510</v>
      </c>
      <c r="U17" s="358"/>
      <c r="V17" s="358"/>
      <c r="W17" s="358"/>
      <c r="X17" s="359"/>
    </row>
    <row r="18" spans="2:24" ht="15" x14ac:dyDescent="0.25">
      <c r="B18" s="219" t="s">
        <v>511</v>
      </c>
      <c r="C18" s="223"/>
      <c r="D18" s="223"/>
      <c r="E18" s="224"/>
      <c r="F18" s="225">
        <f>(F4+F5+F6+F7+F8+F9+F10+F11+F12+F14+F15+F16)</f>
        <v>6000</v>
      </c>
      <c r="H18" s="219" t="s">
        <v>511</v>
      </c>
      <c r="I18" s="223"/>
      <c r="J18" s="223"/>
      <c r="K18" s="224"/>
      <c r="L18" s="225">
        <f>(L4+L5+L6+L7+L8+L9+L10+L11+L12+L14+L15+L16)</f>
        <v>7676.3</v>
      </c>
      <c r="N18" s="219" t="s">
        <v>511</v>
      </c>
      <c r="O18" s="223"/>
      <c r="P18" s="223"/>
      <c r="Q18" s="224"/>
      <c r="R18" s="225">
        <f>(R4+R5+R6+R7+R8+R9+R10+R11+R12+R14+R15+R16)</f>
        <v>2203.0300000000002</v>
      </c>
      <c r="T18" s="219" t="s">
        <v>511</v>
      </c>
      <c r="U18" s="223"/>
      <c r="V18" s="223"/>
      <c r="W18" s="224"/>
      <c r="X18" s="225">
        <f>(X4+X5+X6+X7+X8+X9+X10+X11+X12+X14+X15+X16)</f>
        <v>5186</v>
      </c>
    </row>
    <row r="19" spans="2:24" ht="15" x14ac:dyDescent="0.25">
      <c r="B19" s="226" t="s">
        <v>17</v>
      </c>
      <c r="C19" s="223"/>
      <c r="D19" s="223"/>
      <c r="E19" s="224"/>
      <c r="F19" s="227">
        <f>F18*0.1</f>
        <v>600</v>
      </c>
      <c r="H19" s="226" t="s">
        <v>17</v>
      </c>
      <c r="I19" s="223"/>
      <c r="J19" s="223"/>
      <c r="K19" s="224"/>
      <c r="L19" s="227">
        <f>L18*0.1</f>
        <v>767.63000000000011</v>
      </c>
      <c r="N19" s="226" t="s">
        <v>17</v>
      </c>
      <c r="O19" s="223"/>
      <c r="P19" s="223"/>
      <c r="Q19" s="224"/>
      <c r="R19" s="227">
        <f>R18*0.1</f>
        <v>220.30300000000003</v>
      </c>
      <c r="T19" s="226" t="s">
        <v>17</v>
      </c>
      <c r="U19" s="223"/>
      <c r="V19" s="223"/>
      <c r="W19" s="224"/>
      <c r="X19" s="227">
        <f>X18*0.1</f>
        <v>518.6</v>
      </c>
    </row>
    <row r="20" spans="2:24" ht="15" x14ac:dyDescent="0.25">
      <c r="B20" s="226" t="s">
        <v>18</v>
      </c>
      <c r="C20" s="223"/>
      <c r="D20" s="223"/>
      <c r="E20" s="224"/>
      <c r="F20" s="227">
        <f>SUM(F18:F19)</f>
        <v>6600</v>
      </c>
      <c r="H20" s="226" t="s">
        <v>18</v>
      </c>
      <c r="I20" s="223"/>
      <c r="J20" s="223"/>
      <c r="K20" s="224"/>
      <c r="L20" s="227">
        <f>SUM(L18:L19)</f>
        <v>8443.93</v>
      </c>
      <c r="N20" s="226" t="s">
        <v>18</v>
      </c>
      <c r="O20" s="223"/>
      <c r="P20" s="223"/>
      <c r="Q20" s="224"/>
      <c r="R20" s="227">
        <f>SUM(R18:R19)</f>
        <v>2423.3330000000001</v>
      </c>
      <c r="T20" s="226" t="s">
        <v>18</v>
      </c>
      <c r="U20" s="223"/>
      <c r="V20" s="223"/>
      <c r="W20" s="224"/>
      <c r="X20" s="227">
        <f>SUM(X18:X19)</f>
        <v>5704.6</v>
      </c>
    </row>
    <row r="21" spans="2:24" ht="15" x14ac:dyDescent="0.25">
      <c r="B21" s="219" t="s">
        <v>435</v>
      </c>
      <c r="C21" s="223"/>
      <c r="D21" s="223"/>
      <c r="E21" s="224"/>
      <c r="F21" s="225">
        <v>25000</v>
      </c>
      <c r="H21" s="219" t="s">
        <v>435</v>
      </c>
      <c r="I21" s="223"/>
      <c r="J21" s="223"/>
      <c r="K21" s="224"/>
      <c r="L21" s="225">
        <v>25000</v>
      </c>
      <c r="N21" s="219" t="s">
        <v>435</v>
      </c>
      <c r="O21" s="223"/>
      <c r="P21" s="223"/>
      <c r="Q21" s="224"/>
      <c r="R21" s="225">
        <v>6500</v>
      </c>
      <c r="T21" s="219" t="s">
        <v>435</v>
      </c>
      <c r="U21" s="223"/>
      <c r="V21" s="223"/>
      <c r="W21" s="224"/>
      <c r="X21" s="225">
        <v>37000</v>
      </c>
    </row>
    <row r="22" spans="2:24" ht="15.75" thickBot="1" x14ac:dyDescent="0.3">
      <c r="B22" s="228"/>
      <c r="C22" s="229"/>
      <c r="D22" s="229"/>
      <c r="E22" s="229"/>
      <c r="F22" s="230"/>
      <c r="H22" s="228"/>
      <c r="I22" s="229"/>
      <c r="J22" s="229"/>
      <c r="K22" s="229"/>
      <c r="L22" s="230"/>
      <c r="N22" s="228"/>
      <c r="O22" s="229"/>
      <c r="P22" s="229"/>
      <c r="Q22" s="229"/>
      <c r="R22" s="230"/>
      <c r="T22" s="228"/>
      <c r="U22" s="229"/>
      <c r="V22" s="229"/>
      <c r="W22" s="229"/>
      <c r="X22" s="230"/>
    </row>
    <row r="23" spans="2:24" ht="13.5" thickBot="1" x14ac:dyDescent="0.25"/>
    <row r="24" spans="2:24" ht="15" x14ac:dyDescent="0.25">
      <c r="B24" s="354" t="s">
        <v>567</v>
      </c>
      <c r="C24" s="355"/>
      <c r="D24" s="355"/>
      <c r="E24" s="355"/>
      <c r="F24" s="356"/>
      <c r="H24" s="354" t="s">
        <v>720</v>
      </c>
      <c r="I24" s="355"/>
      <c r="J24" s="355"/>
      <c r="K24" s="355"/>
      <c r="L24" s="356"/>
      <c r="N24" s="354"/>
      <c r="O24" s="355"/>
      <c r="P24" s="355"/>
      <c r="Q24" s="355"/>
      <c r="R24" s="356"/>
      <c r="T24" s="354"/>
      <c r="U24" s="355"/>
      <c r="V24" s="355"/>
      <c r="W24" s="355"/>
      <c r="X24" s="356"/>
    </row>
    <row r="25" spans="2:24" ht="15.75" thickBot="1" x14ac:dyDescent="0.3">
      <c r="B25" s="327" t="s">
        <v>3</v>
      </c>
      <c r="C25" s="196" t="s">
        <v>507</v>
      </c>
      <c r="D25" s="196" t="s">
        <v>508</v>
      </c>
      <c r="E25" s="196" t="s">
        <v>513</v>
      </c>
      <c r="F25" s="299" t="s">
        <v>509</v>
      </c>
      <c r="H25" s="327" t="s">
        <v>3</v>
      </c>
      <c r="I25" s="197" t="s">
        <v>507</v>
      </c>
      <c r="J25" s="197" t="s">
        <v>508</v>
      </c>
      <c r="K25" s="197" t="s">
        <v>513</v>
      </c>
      <c r="L25" s="328" t="s">
        <v>509</v>
      </c>
      <c r="N25" s="327" t="s">
        <v>3</v>
      </c>
      <c r="O25" s="197" t="s">
        <v>507</v>
      </c>
      <c r="P25" s="197" t="s">
        <v>508</v>
      </c>
      <c r="Q25" s="197" t="s">
        <v>513</v>
      </c>
      <c r="R25" s="328" t="s">
        <v>509</v>
      </c>
      <c r="T25" s="327" t="s">
        <v>3</v>
      </c>
      <c r="U25" s="197" t="s">
        <v>507</v>
      </c>
      <c r="V25" s="197" t="s">
        <v>508</v>
      </c>
      <c r="W25" s="197" t="s">
        <v>513</v>
      </c>
      <c r="X25" s="328" t="s">
        <v>509</v>
      </c>
    </row>
    <row r="26" spans="2:24" ht="15.75" x14ac:dyDescent="0.25">
      <c r="B26" s="266" t="s">
        <v>568</v>
      </c>
      <c r="C26" s="267">
        <v>80</v>
      </c>
      <c r="D26" s="334" t="s">
        <v>12</v>
      </c>
      <c r="E26" s="345">
        <v>25.1</v>
      </c>
      <c r="F26" s="208">
        <f>C26*E26</f>
        <v>2008</v>
      </c>
      <c r="H26" s="266" t="s">
        <v>721</v>
      </c>
      <c r="I26" s="108">
        <v>3</v>
      </c>
      <c r="J26" s="259" t="s">
        <v>12</v>
      </c>
      <c r="K26" s="321">
        <v>17.8</v>
      </c>
      <c r="L26" s="261">
        <f>I26*K26</f>
        <v>53.400000000000006</v>
      </c>
      <c r="N26" s="266"/>
      <c r="O26" s="108"/>
      <c r="P26" s="259" t="s">
        <v>12</v>
      </c>
      <c r="Q26" s="260"/>
      <c r="R26" s="261">
        <f>O26*Q26</f>
        <v>0</v>
      </c>
      <c r="T26" s="266"/>
      <c r="U26" s="108"/>
      <c r="V26" s="259" t="s">
        <v>12</v>
      </c>
      <c r="W26" s="260"/>
      <c r="X26" s="261">
        <f>U26*W26</f>
        <v>0</v>
      </c>
    </row>
    <row r="27" spans="2:24" ht="15.75" x14ac:dyDescent="0.25">
      <c r="B27" s="266" t="s">
        <v>569</v>
      </c>
      <c r="C27" s="108">
        <v>20</v>
      </c>
      <c r="D27" s="254" t="s">
        <v>12</v>
      </c>
      <c r="E27" s="320">
        <v>33.200000000000003</v>
      </c>
      <c r="F27" s="203">
        <f t="shared" ref="F27:F34" si="8">C27*E27</f>
        <v>664</v>
      </c>
      <c r="H27" s="266" t="s">
        <v>609</v>
      </c>
      <c r="I27" s="108">
        <v>100</v>
      </c>
      <c r="J27" s="254" t="s">
        <v>12</v>
      </c>
      <c r="K27" s="320">
        <v>25.1</v>
      </c>
      <c r="L27" s="203">
        <f t="shared" ref="L27:L34" si="9">I27*K27</f>
        <v>2510</v>
      </c>
      <c r="N27" s="266"/>
      <c r="O27" s="108"/>
      <c r="P27" s="254" t="s">
        <v>12</v>
      </c>
      <c r="Q27" s="253"/>
      <c r="R27" s="203">
        <f t="shared" ref="R27:R34" si="10">O27*Q27</f>
        <v>0</v>
      </c>
      <c r="T27" s="266"/>
      <c r="U27" s="108"/>
      <c r="V27" s="254" t="s">
        <v>12</v>
      </c>
      <c r="W27" s="253"/>
      <c r="X27" s="203">
        <f t="shared" ref="X27:X36" si="11">U27*W27</f>
        <v>0</v>
      </c>
    </row>
    <row r="28" spans="2:24" ht="15.75" x14ac:dyDescent="0.25">
      <c r="B28" s="266" t="s">
        <v>562</v>
      </c>
      <c r="C28" s="108">
        <v>15</v>
      </c>
      <c r="D28" s="254" t="s">
        <v>12</v>
      </c>
      <c r="E28" s="253"/>
      <c r="F28" s="203">
        <f t="shared" si="8"/>
        <v>0</v>
      </c>
      <c r="H28" s="266" t="s">
        <v>722</v>
      </c>
      <c r="I28" s="108">
        <v>50</v>
      </c>
      <c r="J28" s="254" t="s">
        <v>12</v>
      </c>
      <c r="K28" s="253"/>
      <c r="L28" s="203">
        <f t="shared" si="9"/>
        <v>0</v>
      </c>
      <c r="N28" s="266"/>
      <c r="O28" s="108"/>
      <c r="P28" s="254" t="s">
        <v>12</v>
      </c>
      <c r="Q28" s="253"/>
      <c r="R28" s="203">
        <f t="shared" si="10"/>
        <v>0</v>
      </c>
      <c r="T28" s="266"/>
      <c r="U28" s="108"/>
      <c r="V28" s="254" t="s">
        <v>12</v>
      </c>
      <c r="W28" s="253"/>
      <c r="X28" s="203">
        <f t="shared" si="11"/>
        <v>0</v>
      </c>
    </row>
    <row r="29" spans="2:24" ht="15.75" x14ac:dyDescent="0.25">
      <c r="B29" s="266" t="s">
        <v>570</v>
      </c>
      <c r="C29" s="108">
        <v>15</v>
      </c>
      <c r="D29" s="254" t="s">
        <v>59</v>
      </c>
      <c r="E29" s="253"/>
      <c r="F29" s="203">
        <f t="shared" si="8"/>
        <v>0</v>
      </c>
      <c r="H29" s="266" t="s">
        <v>723</v>
      </c>
      <c r="I29" s="108">
        <v>10</v>
      </c>
      <c r="J29" s="254" t="s">
        <v>59</v>
      </c>
      <c r="K29" s="320">
        <v>9.4</v>
      </c>
      <c r="L29" s="203">
        <f t="shared" si="9"/>
        <v>94</v>
      </c>
      <c r="N29" s="266"/>
      <c r="O29" s="108"/>
      <c r="P29" s="254" t="s">
        <v>59</v>
      </c>
      <c r="Q29" s="253"/>
      <c r="R29" s="203">
        <f t="shared" si="10"/>
        <v>0</v>
      </c>
      <c r="T29" s="266"/>
      <c r="U29" s="108"/>
      <c r="V29" s="254" t="s">
        <v>59</v>
      </c>
      <c r="W29" s="253"/>
      <c r="X29" s="203">
        <f t="shared" si="11"/>
        <v>0</v>
      </c>
    </row>
    <row r="30" spans="2:24" ht="15.75" x14ac:dyDescent="0.25">
      <c r="B30" s="273" t="s">
        <v>571</v>
      </c>
      <c r="C30" s="108">
        <v>10</v>
      </c>
      <c r="D30" s="254" t="s">
        <v>59</v>
      </c>
      <c r="E30" s="253"/>
      <c r="F30" s="203">
        <f t="shared" si="8"/>
        <v>0</v>
      </c>
      <c r="H30" s="266" t="s">
        <v>724</v>
      </c>
      <c r="I30" s="108">
        <v>10</v>
      </c>
      <c r="J30" s="254" t="s">
        <v>59</v>
      </c>
      <c r="K30" s="320">
        <v>10.8</v>
      </c>
      <c r="L30" s="203">
        <f t="shared" si="9"/>
        <v>108</v>
      </c>
      <c r="N30" s="266"/>
      <c r="O30" s="108"/>
      <c r="P30" s="254"/>
      <c r="Q30" s="253"/>
      <c r="R30" s="203">
        <f t="shared" si="10"/>
        <v>0</v>
      </c>
      <c r="T30" s="266"/>
      <c r="U30" s="108"/>
      <c r="V30" s="254"/>
      <c r="W30" s="253"/>
      <c r="X30" s="203">
        <f t="shared" si="11"/>
        <v>0</v>
      </c>
    </row>
    <row r="31" spans="2:24" ht="15.75" x14ac:dyDescent="0.25">
      <c r="B31" s="273"/>
      <c r="C31" s="108"/>
      <c r="D31" s="254"/>
      <c r="E31" s="253"/>
      <c r="F31" s="203">
        <f t="shared" si="8"/>
        <v>0</v>
      </c>
      <c r="H31" s="266"/>
      <c r="I31" s="108"/>
      <c r="J31" s="254"/>
      <c r="K31" s="253"/>
      <c r="L31" s="203">
        <f t="shared" si="9"/>
        <v>0</v>
      </c>
      <c r="N31" s="266"/>
      <c r="O31" s="108"/>
      <c r="P31" s="254"/>
      <c r="Q31" s="253"/>
      <c r="R31" s="203">
        <f t="shared" si="10"/>
        <v>0</v>
      </c>
      <c r="T31" s="266"/>
      <c r="U31" s="108"/>
      <c r="V31" s="254"/>
      <c r="W31" s="253"/>
      <c r="X31" s="203">
        <f t="shared" si="11"/>
        <v>0</v>
      </c>
    </row>
    <row r="32" spans="2:24" ht="15.75" x14ac:dyDescent="0.25">
      <c r="B32" s="273"/>
      <c r="C32" s="267"/>
      <c r="D32" s="254"/>
      <c r="E32" s="253"/>
      <c r="F32" s="203">
        <f t="shared" si="8"/>
        <v>0</v>
      </c>
      <c r="H32" s="273"/>
      <c r="I32" s="267"/>
      <c r="J32" s="255"/>
      <c r="K32" s="253"/>
      <c r="L32" s="203">
        <f t="shared" si="9"/>
        <v>0</v>
      </c>
      <c r="N32" s="273"/>
      <c r="O32" s="267"/>
      <c r="P32" s="255"/>
      <c r="Q32" s="253"/>
      <c r="R32" s="203">
        <f t="shared" si="10"/>
        <v>0</v>
      </c>
      <c r="T32" s="273"/>
      <c r="U32" s="267"/>
      <c r="V32" s="255"/>
      <c r="W32" s="253"/>
      <c r="X32" s="203">
        <f t="shared" si="11"/>
        <v>0</v>
      </c>
    </row>
    <row r="33" spans="2:24" ht="15.75" x14ac:dyDescent="0.25">
      <c r="B33" s="265"/>
      <c r="C33" s="108"/>
      <c r="D33" s="255"/>
      <c r="E33" s="253"/>
      <c r="F33" s="203">
        <f t="shared" si="8"/>
        <v>0</v>
      </c>
      <c r="H33" s="265"/>
      <c r="I33" s="108"/>
      <c r="J33" s="255"/>
      <c r="K33" s="253"/>
      <c r="L33" s="203">
        <f t="shared" si="9"/>
        <v>0</v>
      </c>
      <c r="N33" s="265"/>
      <c r="O33" s="108"/>
      <c r="P33" s="255"/>
      <c r="Q33" s="253"/>
      <c r="R33" s="203">
        <f t="shared" si="10"/>
        <v>0</v>
      </c>
      <c r="T33" s="265"/>
      <c r="U33" s="108"/>
      <c r="V33" s="255"/>
      <c r="W33" s="253"/>
      <c r="X33" s="203">
        <f t="shared" si="11"/>
        <v>0</v>
      </c>
    </row>
    <row r="34" spans="2:24" ht="15.75" x14ac:dyDescent="0.25">
      <c r="B34" s="266"/>
      <c r="C34" s="108"/>
      <c r="D34" s="255"/>
      <c r="E34" s="253"/>
      <c r="F34" s="203">
        <f t="shared" si="8"/>
        <v>0</v>
      </c>
      <c r="H34" s="266"/>
      <c r="I34" s="108"/>
      <c r="J34" s="255"/>
      <c r="K34" s="253"/>
      <c r="L34" s="203">
        <f t="shared" si="9"/>
        <v>0</v>
      </c>
      <c r="N34" s="266"/>
      <c r="O34" s="108"/>
      <c r="P34" s="255"/>
      <c r="Q34" s="253"/>
      <c r="R34" s="203">
        <f t="shared" si="10"/>
        <v>0</v>
      </c>
      <c r="T34" s="266"/>
      <c r="U34" s="108"/>
      <c r="V34" s="255"/>
      <c r="W34" s="253"/>
      <c r="X34" s="203">
        <f t="shared" si="11"/>
        <v>0</v>
      </c>
    </row>
    <row r="35" spans="2:24" ht="15" x14ac:dyDescent="0.25">
      <c r="B35" s="216" t="s">
        <v>512</v>
      </c>
      <c r="C35" s="217"/>
      <c r="D35" s="217"/>
      <c r="E35" s="217"/>
      <c r="F35" s="218"/>
      <c r="H35" s="216" t="s">
        <v>512</v>
      </c>
      <c r="I35" s="217"/>
      <c r="J35" s="217"/>
      <c r="K35" s="217"/>
      <c r="L35" s="218"/>
      <c r="N35" s="216" t="s">
        <v>512</v>
      </c>
      <c r="O35" s="217"/>
      <c r="P35" s="217"/>
      <c r="Q35" s="217"/>
      <c r="R35" s="218"/>
      <c r="T35" s="216" t="s">
        <v>512</v>
      </c>
      <c r="U35" s="217"/>
      <c r="V35" s="217"/>
      <c r="W35" s="217"/>
      <c r="X35" s="218"/>
    </row>
    <row r="36" spans="2:24" ht="15" x14ac:dyDescent="0.25">
      <c r="B36" s="219"/>
      <c r="C36" s="220"/>
      <c r="D36" s="221"/>
      <c r="E36" s="221"/>
      <c r="F36" s="222">
        <f>C36*140</f>
        <v>0</v>
      </c>
      <c r="H36" s="219"/>
      <c r="I36" s="220"/>
      <c r="J36" s="221"/>
      <c r="K36" s="221"/>
      <c r="L36" s="222">
        <f>I36*140</f>
        <v>0</v>
      </c>
      <c r="N36" s="219"/>
      <c r="O36" s="220"/>
      <c r="P36" s="221"/>
      <c r="Q36" s="221"/>
      <c r="R36" s="222">
        <f>O36*140</f>
        <v>0</v>
      </c>
      <c r="T36" s="219"/>
      <c r="U36" s="220"/>
      <c r="V36" s="221"/>
      <c r="W36" s="221"/>
      <c r="X36" s="203">
        <f t="shared" si="11"/>
        <v>0</v>
      </c>
    </row>
    <row r="37" spans="2:24" ht="15" x14ac:dyDescent="0.25">
      <c r="B37" s="219"/>
      <c r="C37" s="220"/>
      <c r="D37" s="221"/>
      <c r="E37" s="221"/>
      <c r="F37" s="222">
        <f t="shared" ref="F37:F38" si="12">C37*140</f>
        <v>0</v>
      </c>
      <c r="H37" s="219"/>
      <c r="I37" s="220"/>
      <c r="J37" s="221"/>
      <c r="K37" s="221"/>
      <c r="L37" s="222">
        <f t="shared" ref="L37:L38" si="13">I37*140</f>
        <v>0</v>
      </c>
      <c r="N37" s="219"/>
      <c r="O37" s="220"/>
      <c r="P37" s="221"/>
      <c r="Q37" s="221"/>
      <c r="R37" s="222">
        <f t="shared" ref="R37:R38" si="14">O37*140</f>
        <v>0</v>
      </c>
      <c r="T37" s="219"/>
      <c r="U37" s="220"/>
      <c r="V37" s="221"/>
      <c r="W37" s="221"/>
      <c r="X37" s="222">
        <f t="shared" ref="X37:X38" si="15">U37*140</f>
        <v>0</v>
      </c>
    </row>
    <row r="38" spans="2:24" ht="15" x14ac:dyDescent="0.25">
      <c r="B38" s="219"/>
      <c r="C38" s="220"/>
      <c r="D38" s="221"/>
      <c r="E38" s="221"/>
      <c r="F38" s="222">
        <f t="shared" si="12"/>
        <v>0</v>
      </c>
      <c r="H38" s="219"/>
      <c r="I38" s="220"/>
      <c r="J38" s="221"/>
      <c r="K38" s="221"/>
      <c r="L38" s="222">
        <f t="shared" si="13"/>
        <v>0</v>
      </c>
      <c r="N38" s="219"/>
      <c r="O38" s="220"/>
      <c r="P38" s="221"/>
      <c r="Q38" s="221"/>
      <c r="R38" s="222">
        <f t="shared" si="14"/>
        <v>0</v>
      </c>
      <c r="T38" s="219"/>
      <c r="U38" s="220"/>
      <c r="V38" s="221"/>
      <c r="W38" s="221"/>
      <c r="X38" s="222">
        <f t="shared" si="15"/>
        <v>0</v>
      </c>
    </row>
    <row r="39" spans="2:24" ht="15" x14ac:dyDescent="0.25">
      <c r="B39" s="357" t="s">
        <v>510</v>
      </c>
      <c r="C39" s="358"/>
      <c r="D39" s="358"/>
      <c r="E39" s="358"/>
      <c r="F39" s="359"/>
      <c r="H39" s="357" t="s">
        <v>510</v>
      </c>
      <c r="I39" s="358"/>
      <c r="J39" s="358"/>
      <c r="K39" s="358"/>
      <c r="L39" s="359"/>
      <c r="N39" s="357" t="s">
        <v>510</v>
      </c>
      <c r="O39" s="358"/>
      <c r="P39" s="358"/>
      <c r="Q39" s="358"/>
      <c r="R39" s="359"/>
      <c r="T39" s="357" t="s">
        <v>510</v>
      </c>
      <c r="U39" s="358"/>
      <c r="V39" s="358"/>
      <c r="W39" s="358"/>
      <c r="X39" s="359"/>
    </row>
    <row r="40" spans="2:24" ht="15" x14ac:dyDescent="0.25">
      <c r="B40" s="219" t="s">
        <v>511</v>
      </c>
      <c r="C40" s="223"/>
      <c r="D40" s="223"/>
      <c r="E40" s="224"/>
      <c r="F40" s="225">
        <f>(F26+F27+F28+F29+F30+F31+F32+F33+F34+F36+F37+F38)</f>
        <v>2672</v>
      </c>
      <c r="H40" s="219" t="s">
        <v>511</v>
      </c>
      <c r="I40" s="223"/>
      <c r="J40" s="223"/>
      <c r="K40" s="224"/>
      <c r="L40" s="225">
        <f>(L26+L27+L28+L29+L30+L31+L32+L33+L34+L36+L37+L38)</f>
        <v>2765.4</v>
      </c>
      <c r="N40" s="219" t="s">
        <v>511</v>
      </c>
      <c r="O40" s="223"/>
      <c r="P40" s="223"/>
      <c r="Q40" s="224"/>
      <c r="R40" s="225">
        <f>(R26+R27+R28+R29+R30+R31+R32+R33+R34+R36+R37+R38)</f>
        <v>0</v>
      </c>
      <c r="T40" s="219" t="s">
        <v>511</v>
      </c>
      <c r="U40" s="223"/>
      <c r="V40" s="223"/>
      <c r="W40" s="224"/>
      <c r="X40" s="225">
        <f>(X26+X27+X28+X29+X30+X31+X32+X33+X34+X36+X37+X38)</f>
        <v>0</v>
      </c>
    </row>
    <row r="41" spans="2:24" ht="15" x14ac:dyDescent="0.25">
      <c r="B41" s="226" t="s">
        <v>17</v>
      </c>
      <c r="C41" s="223"/>
      <c r="D41" s="223"/>
      <c r="E41" s="224"/>
      <c r="F41" s="227">
        <f>F40*0.1</f>
        <v>267.2</v>
      </c>
      <c r="H41" s="226" t="s">
        <v>17</v>
      </c>
      <c r="I41" s="223"/>
      <c r="J41" s="223"/>
      <c r="K41" s="224"/>
      <c r="L41" s="227">
        <f>L40*0.1</f>
        <v>276.54000000000002</v>
      </c>
      <c r="N41" s="226" t="s">
        <v>17</v>
      </c>
      <c r="O41" s="223"/>
      <c r="P41" s="223"/>
      <c r="Q41" s="224"/>
      <c r="R41" s="227">
        <f>R40*0.1</f>
        <v>0</v>
      </c>
      <c r="T41" s="226" t="s">
        <v>17</v>
      </c>
      <c r="U41" s="223"/>
      <c r="V41" s="223"/>
      <c r="W41" s="224"/>
      <c r="X41" s="227">
        <f>X40*0.1</f>
        <v>0</v>
      </c>
    </row>
    <row r="42" spans="2:24" ht="15" x14ac:dyDescent="0.25">
      <c r="B42" s="226" t="s">
        <v>18</v>
      </c>
      <c r="C42" s="223"/>
      <c r="D42" s="223"/>
      <c r="E42" s="224"/>
      <c r="F42" s="227">
        <f>SUM(F40:F41)</f>
        <v>2939.2</v>
      </c>
      <c r="H42" s="226" t="s">
        <v>18</v>
      </c>
      <c r="I42" s="223"/>
      <c r="J42" s="223"/>
      <c r="K42" s="224"/>
      <c r="L42" s="227">
        <f>SUM(L40:L41)</f>
        <v>3041.94</v>
      </c>
      <c r="N42" s="226" t="s">
        <v>18</v>
      </c>
      <c r="O42" s="223"/>
      <c r="P42" s="223"/>
      <c r="Q42" s="224"/>
      <c r="R42" s="227">
        <f>SUM(R40:R41)</f>
        <v>0</v>
      </c>
      <c r="T42" s="226" t="s">
        <v>18</v>
      </c>
      <c r="U42" s="223"/>
      <c r="V42" s="223"/>
      <c r="W42" s="224"/>
      <c r="X42" s="227">
        <f>SUM(X40:X41)</f>
        <v>0</v>
      </c>
    </row>
    <row r="43" spans="2:24" ht="15" x14ac:dyDescent="0.25">
      <c r="B43" s="219" t="s">
        <v>435</v>
      </c>
      <c r="C43" s="223"/>
      <c r="D43" s="223"/>
      <c r="E43" s="224"/>
      <c r="F43" s="225">
        <v>30000</v>
      </c>
      <c r="H43" s="219" t="s">
        <v>435</v>
      </c>
      <c r="I43" s="223"/>
      <c r="J43" s="223"/>
      <c r="K43" s="224"/>
      <c r="L43" s="225">
        <v>13900</v>
      </c>
      <c r="N43" s="219" t="s">
        <v>435</v>
      </c>
      <c r="O43" s="223"/>
      <c r="P43" s="223"/>
      <c r="Q43" s="224"/>
      <c r="R43" s="225">
        <v>13900</v>
      </c>
      <c r="T43" s="219" t="s">
        <v>435</v>
      </c>
      <c r="U43" s="223"/>
      <c r="V43" s="223"/>
      <c r="W43" s="224"/>
      <c r="X43" s="225">
        <v>13900</v>
      </c>
    </row>
    <row r="44" spans="2:24" ht="15.75" thickBot="1" x14ac:dyDescent="0.3">
      <c r="B44" s="228"/>
      <c r="C44" s="229"/>
      <c r="D44" s="229"/>
      <c r="E44" s="229"/>
      <c r="F44" s="230"/>
      <c r="H44" s="228"/>
      <c r="I44" s="229"/>
      <c r="J44" s="229"/>
      <c r="K44" s="229"/>
      <c r="L44" s="230"/>
      <c r="N44" s="228"/>
      <c r="O44" s="229"/>
      <c r="P44" s="229"/>
      <c r="Q44" s="229"/>
      <c r="R44" s="230"/>
      <c r="T44" s="228"/>
      <c r="U44" s="229"/>
      <c r="V44" s="229"/>
      <c r="W44" s="229"/>
      <c r="X44" s="230"/>
    </row>
  </sheetData>
  <mergeCells count="16">
    <mergeCell ref="T24:X24"/>
    <mergeCell ref="T39:X39"/>
    <mergeCell ref="T2:X2"/>
    <mergeCell ref="T17:X17"/>
    <mergeCell ref="B24:F24"/>
    <mergeCell ref="B39:F39"/>
    <mergeCell ref="H24:L24"/>
    <mergeCell ref="H39:L39"/>
    <mergeCell ref="N24:R24"/>
    <mergeCell ref="N39:R39"/>
    <mergeCell ref="H2:L2"/>
    <mergeCell ref="H17:L17"/>
    <mergeCell ref="N2:R2"/>
    <mergeCell ref="N17:R17"/>
    <mergeCell ref="B2:F2"/>
    <mergeCell ref="B17:F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972"/>
  <sheetViews>
    <sheetView zoomScale="80" zoomScaleNormal="80" workbookViewId="0">
      <selection activeCell="I20" sqref="I20"/>
    </sheetView>
  </sheetViews>
  <sheetFormatPr baseColWidth="10" defaultColWidth="11.5703125" defaultRowHeight="12.75" x14ac:dyDescent="0.2"/>
  <cols>
    <col min="1" max="1" width="20.7109375" customWidth="1"/>
    <col min="2" max="2" width="10" customWidth="1"/>
    <col min="3" max="3" width="7" customWidth="1"/>
    <col min="4" max="4" width="10.7109375" customWidth="1"/>
    <col min="5" max="5" width="12.85546875" customWidth="1"/>
    <col min="6" max="6" width="14.140625" customWidth="1"/>
    <col min="7" max="7" width="17" customWidth="1"/>
    <col min="8" max="8" width="20.7109375" customWidth="1"/>
    <col min="9" max="9" width="32.28515625" customWidth="1"/>
    <col min="10" max="10" width="11.28515625" customWidth="1"/>
    <col min="11" max="11" width="13.7109375" customWidth="1"/>
    <col min="12" max="12" width="19" customWidth="1"/>
  </cols>
  <sheetData>
    <row r="1" spans="1:12" ht="15.75" x14ac:dyDescent="0.25">
      <c r="A1" s="366"/>
      <c r="B1" s="367"/>
      <c r="C1" s="367"/>
      <c r="D1" s="367"/>
      <c r="E1" s="367"/>
      <c r="F1" s="367"/>
      <c r="G1" s="367"/>
      <c r="H1" s="2"/>
      <c r="I1" s="2"/>
      <c r="J1" s="2"/>
      <c r="K1" s="2"/>
      <c r="L1" s="2"/>
    </row>
    <row r="2" spans="1:12" ht="15.75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</row>
    <row r="3" spans="1:12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x14ac:dyDescent="0.25">
      <c r="A4" s="366" t="s">
        <v>0</v>
      </c>
      <c r="B4" s="367"/>
      <c r="C4" s="367"/>
      <c r="D4" s="367"/>
      <c r="E4" s="367"/>
      <c r="F4" s="367"/>
      <c r="G4" s="367"/>
      <c r="H4" s="2"/>
      <c r="I4" s="2"/>
      <c r="J4" s="2"/>
      <c r="K4" s="2"/>
      <c r="L4" s="2"/>
    </row>
    <row r="5" spans="1:12" ht="15.75" x14ac:dyDescent="0.25">
      <c r="A5" s="1"/>
      <c r="B5" s="1"/>
      <c r="C5" s="1"/>
      <c r="D5" s="1"/>
      <c r="E5" s="1"/>
      <c r="F5" s="1"/>
      <c r="G5" s="3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2" ht="15.75" x14ac:dyDescent="0.25">
      <c r="A7" s="2" t="s">
        <v>1</v>
      </c>
      <c r="B7" s="368" t="s">
        <v>196</v>
      </c>
      <c r="C7" s="369"/>
      <c r="D7" s="369"/>
      <c r="E7" s="369"/>
      <c r="F7" s="369"/>
      <c r="G7" s="369"/>
      <c r="H7" s="2"/>
      <c r="I7" s="2"/>
      <c r="J7" s="2"/>
      <c r="K7" s="2"/>
      <c r="L7" s="2"/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6.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6.5" thickBot="1" x14ac:dyDescent="0.3">
      <c r="A10" s="4"/>
      <c r="B10" s="5"/>
      <c r="C10" s="6"/>
      <c r="D10" s="7"/>
      <c r="E10" s="7"/>
      <c r="F10" s="8" t="s">
        <v>2</v>
      </c>
      <c r="G10" s="9"/>
      <c r="H10" s="2"/>
      <c r="I10" s="370"/>
      <c r="J10" s="367"/>
      <c r="K10" s="367"/>
      <c r="L10" s="2"/>
    </row>
    <row r="11" spans="1:12" ht="16.5" thickBot="1" x14ac:dyDescent="0.3">
      <c r="A11" s="371" t="s">
        <v>3</v>
      </c>
      <c r="B11" s="367"/>
      <c r="C11" s="372"/>
      <c r="D11" s="10" t="s">
        <v>4</v>
      </c>
      <c r="E11" s="10" t="s">
        <v>5</v>
      </c>
      <c r="F11" s="373" t="s">
        <v>6</v>
      </c>
      <c r="G11" s="374"/>
      <c r="H11" s="2"/>
      <c r="I11" s="2"/>
      <c r="J11" s="2"/>
      <c r="K11" s="2"/>
      <c r="L11" s="2"/>
    </row>
    <row r="12" spans="1:12" ht="16.5" thickBot="1" x14ac:dyDescent="0.3">
      <c r="A12" s="11"/>
      <c r="B12" s="2"/>
      <c r="C12" s="12"/>
      <c r="D12" s="13"/>
      <c r="E12" s="13"/>
      <c r="F12" s="4" t="s">
        <v>7</v>
      </c>
      <c r="G12" s="14" t="s">
        <v>8</v>
      </c>
      <c r="H12" s="4" t="s">
        <v>9</v>
      </c>
      <c r="I12" s="4" t="s">
        <v>10</v>
      </c>
      <c r="J12" s="375" t="s">
        <v>11</v>
      </c>
      <c r="K12" s="376"/>
      <c r="L12" s="374"/>
    </row>
    <row r="13" spans="1:12" ht="15.75" x14ac:dyDescent="0.25">
      <c r="A13" s="377" t="s">
        <v>197</v>
      </c>
      <c r="B13" s="378"/>
      <c r="C13" s="379"/>
      <c r="D13" s="15">
        <v>2</v>
      </c>
      <c r="E13" s="16" t="s">
        <v>12</v>
      </c>
      <c r="F13" s="17">
        <v>2680</v>
      </c>
      <c r="G13" s="18">
        <f>F13*D13</f>
        <v>5360</v>
      </c>
      <c r="H13" s="19">
        <f>D13*L13</f>
        <v>2</v>
      </c>
      <c r="I13" s="20">
        <f t="shared" ref="I13:I16" si="0">F13*H13</f>
        <v>5360</v>
      </c>
      <c r="J13" s="21" t="s">
        <v>13</v>
      </c>
      <c r="K13" s="22"/>
      <c r="L13" s="23">
        <v>1</v>
      </c>
    </row>
    <row r="14" spans="1:12" ht="15.75" x14ac:dyDescent="0.25">
      <c r="A14" s="363" t="s">
        <v>192</v>
      </c>
      <c r="B14" s="364"/>
      <c r="C14" s="365"/>
      <c r="D14" s="24">
        <v>150</v>
      </c>
      <c r="E14" s="25" t="s">
        <v>12</v>
      </c>
      <c r="F14" s="26">
        <v>5.83</v>
      </c>
      <c r="G14" s="27">
        <f t="shared" ref="G14:G15" si="1">D14*F14</f>
        <v>874.5</v>
      </c>
      <c r="H14" s="28">
        <f>D14*L13</f>
        <v>150</v>
      </c>
      <c r="I14" s="29">
        <f t="shared" si="0"/>
        <v>874.5</v>
      </c>
      <c r="J14" s="30" t="s">
        <v>14</v>
      </c>
      <c r="K14" s="31"/>
      <c r="L14" s="32">
        <f>SUM(I13:I16)</f>
        <v>7676.3</v>
      </c>
    </row>
    <row r="15" spans="1:12" ht="15.75" x14ac:dyDescent="0.25">
      <c r="A15" s="363" t="s">
        <v>195</v>
      </c>
      <c r="B15" s="364"/>
      <c r="C15" s="365"/>
      <c r="D15" s="24">
        <v>60</v>
      </c>
      <c r="E15" s="25" t="s">
        <v>12</v>
      </c>
      <c r="F15" s="26">
        <v>24.03</v>
      </c>
      <c r="G15" s="27">
        <f t="shared" si="1"/>
        <v>1441.8000000000002</v>
      </c>
      <c r="H15" s="28">
        <f>D15*L13</f>
        <v>60</v>
      </c>
      <c r="I15" s="29">
        <f t="shared" si="0"/>
        <v>1441.8000000000002</v>
      </c>
      <c r="J15" s="380" t="s">
        <v>15</v>
      </c>
      <c r="K15" s="381"/>
      <c r="L15" s="34">
        <f>G23*L13</f>
        <v>23000</v>
      </c>
    </row>
    <row r="16" spans="1:12" ht="16.5" thickBot="1" x14ac:dyDescent="0.3">
      <c r="A16" s="363" t="s">
        <v>222</v>
      </c>
      <c r="B16" s="364"/>
      <c r="C16" s="365"/>
      <c r="D16" s="24"/>
      <c r="E16" s="25"/>
      <c r="F16" s="26"/>
      <c r="G16" s="27">
        <v>2700</v>
      </c>
      <c r="H16" s="28">
        <f>D16*L13</f>
        <v>0</v>
      </c>
      <c r="I16" s="29">
        <f t="shared" si="0"/>
        <v>0</v>
      </c>
      <c r="J16" s="2"/>
      <c r="K16" s="2"/>
      <c r="L16" s="2"/>
    </row>
    <row r="17" spans="1:12" ht="15.75" x14ac:dyDescent="0.25">
      <c r="A17" s="50" t="s">
        <v>16</v>
      </c>
      <c r="B17" s="51"/>
      <c r="C17" s="51"/>
      <c r="D17" s="52"/>
      <c r="E17" s="52"/>
      <c r="F17" s="53"/>
      <c r="G17" s="20">
        <f>SUM(G13:G15)</f>
        <v>7676.3</v>
      </c>
      <c r="H17" s="2"/>
      <c r="I17" s="2"/>
      <c r="J17" s="2"/>
      <c r="K17" s="2"/>
      <c r="L17" s="2"/>
    </row>
    <row r="18" spans="1:12" ht="15.75" x14ac:dyDescent="0.25">
      <c r="A18" s="54" t="s">
        <v>17</v>
      </c>
      <c r="B18" s="55"/>
      <c r="C18" s="55"/>
      <c r="D18" s="56"/>
      <c r="E18" s="56"/>
      <c r="F18" s="57"/>
      <c r="G18" s="29">
        <f>G17*0.1</f>
        <v>767.63000000000011</v>
      </c>
      <c r="H18" s="2"/>
      <c r="I18" s="2"/>
      <c r="J18" s="2"/>
      <c r="K18" s="2"/>
      <c r="L18" s="2"/>
    </row>
    <row r="19" spans="1:12" ht="15.75" x14ac:dyDescent="0.25">
      <c r="A19" s="54" t="s">
        <v>18</v>
      </c>
      <c r="B19" s="55"/>
      <c r="C19" s="55"/>
      <c r="D19" s="56"/>
      <c r="E19" s="56"/>
      <c r="F19" s="58"/>
      <c r="G19" s="29">
        <f>SUM(G17:G18)</f>
        <v>8443.93</v>
      </c>
      <c r="H19" s="2"/>
      <c r="I19" s="2"/>
      <c r="J19" s="2"/>
      <c r="K19" s="2"/>
      <c r="L19" s="2"/>
    </row>
    <row r="20" spans="1:12" ht="16.5" thickBot="1" x14ac:dyDescent="0.3">
      <c r="A20" s="59" t="s">
        <v>221</v>
      </c>
      <c r="B20" s="33"/>
      <c r="C20" s="33"/>
      <c r="D20" s="60"/>
      <c r="E20" s="60"/>
      <c r="F20" s="89"/>
      <c r="G20" s="29">
        <f>G16</f>
        <v>2700</v>
      </c>
      <c r="H20" s="2"/>
      <c r="I20" s="2"/>
      <c r="J20" s="2"/>
      <c r="K20" s="2"/>
      <c r="L20" s="2"/>
    </row>
    <row r="21" spans="1:12" ht="15.75" x14ac:dyDescent="0.25">
      <c r="A21" s="59" t="s">
        <v>19</v>
      </c>
      <c r="B21" s="33"/>
      <c r="C21" s="33"/>
      <c r="D21" s="60"/>
      <c r="E21" s="60"/>
      <c r="F21" s="61">
        <v>1</v>
      </c>
      <c r="G21" s="76">
        <f>G20+G19</f>
        <v>11143.93</v>
      </c>
      <c r="H21" s="2"/>
      <c r="I21" s="2"/>
      <c r="J21" s="2"/>
      <c r="K21" s="2"/>
      <c r="L21" s="2"/>
    </row>
    <row r="22" spans="1:12" ht="15.75" x14ac:dyDescent="0.25">
      <c r="A22" s="382" t="s">
        <v>20</v>
      </c>
      <c r="B22" s="364"/>
      <c r="C22" s="364"/>
      <c r="D22" s="364"/>
      <c r="E22" s="364"/>
      <c r="F22" s="365"/>
      <c r="G22" s="75">
        <f>G21/G23</f>
        <v>0.48451869565217393</v>
      </c>
      <c r="H22" s="2"/>
      <c r="I22" s="2"/>
      <c r="J22" s="2"/>
      <c r="K22" s="2"/>
      <c r="L22" s="2"/>
    </row>
    <row r="23" spans="1:12" ht="15.75" x14ac:dyDescent="0.25">
      <c r="A23" s="382" t="s">
        <v>21</v>
      </c>
      <c r="B23" s="364"/>
      <c r="C23" s="364"/>
      <c r="D23" s="364"/>
      <c r="E23" s="364"/>
      <c r="F23" s="365"/>
      <c r="G23" s="29">
        <v>23000</v>
      </c>
      <c r="H23" s="2"/>
      <c r="I23" s="2"/>
      <c r="J23" s="2"/>
      <c r="K23" s="2"/>
      <c r="L23" s="2"/>
    </row>
    <row r="24" spans="1:12" ht="15.75" x14ac:dyDescent="0.25">
      <c r="A24" s="382" t="s">
        <v>22</v>
      </c>
      <c r="B24" s="364"/>
      <c r="C24" s="364"/>
      <c r="D24" s="364"/>
      <c r="E24" s="364"/>
      <c r="F24" s="365"/>
      <c r="G24" s="29">
        <v>2000</v>
      </c>
      <c r="H24" s="2"/>
      <c r="I24" s="2"/>
      <c r="J24" s="2"/>
      <c r="K24" s="2"/>
      <c r="L24" s="2"/>
    </row>
    <row r="25" spans="1:12" ht="15.75" x14ac:dyDescent="0.25">
      <c r="A25" s="382" t="s">
        <v>23</v>
      </c>
      <c r="B25" s="364"/>
      <c r="C25" s="364"/>
      <c r="D25" s="364"/>
      <c r="E25" s="364"/>
      <c r="F25" s="365"/>
      <c r="G25" s="29">
        <f>G24+G23</f>
        <v>25000</v>
      </c>
      <c r="H25" s="2"/>
      <c r="I25" s="2"/>
      <c r="J25" s="2"/>
      <c r="K25" s="2"/>
      <c r="L25" s="2"/>
    </row>
    <row r="26" spans="1:12" ht="15.75" x14ac:dyDescent="0.25">
      <c r="A26" s="382" t="s">
        <v>24</v>
      </c>
      <c r="B26" s="364"/>
      <c r="C26" s="364"/>
      <c r="D26" s="364"/>
      <c r="E26" s="364"/>
      <c r="F26" s="365"/>
      <c r="G26" s="77">
        <f>G25</f>
        <v>25000</v>
      </c>
      <c r="H26" s="2"/>
      <c r="I26" s="2"/>
      <c r="J26" s="2"/>
      <c r="K26" s="2"/>
      <c r="L26" s="2"/>
    </row>
    <row r="27" spans="1:12" ht="16.5" thickBot="1" x14ac:dyDescent="0.3">
      <c r="A27" s="383" t="s">
        <v>25</v>
      </c>
      <c r="B27" s="384"/>
      <c r="C27" s="384"/>
      <c r="D27" s="384"/>
      <c r="E27" s="384"/>
      <c r="F27" s="385"/>
      <c r="G27" s="63">
        <f>(G21+G24)/G26</f>
        <v>0.52575720000000004</v>
      </c>
      <c r="H27" s="2"/>
      <c r="I27" s="2"/>
      <c r="J27" s="2"/>
      <c r="K27" s="2"/>
      <c r="L27" s="2"/>
    </row>
    <row r="28" spans="1:12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x14ac:dyDescent="0.25">
      <c r="A29" s="366" t="s">
        <v>0</v>
      </c>
      <c r="B29" s="367"/>
      <c r="C29" s="367"/>
      <c r="D29" s="367"/>
      <c r="E29" s="367"/>
      <c r="F29" s="367"/>
      <c r="G29" s="367"/>
      <c r="H29" s="2"/>
      <c r="I29" s="2"/>
      <c r="J29" s="2"/>
      <c r="K29" s="2"/>
      <c r="L29" s="2"/>
    </row>
    <row r="30" spans="1:12" ht="15.75" x14ac:dyDescent="0.25">
      <c r="A30" s="1"/>
      <c r="B30" s="1"/>
      <c r="C30" s="1"/>
      <c r="D30" s="1"/>
      <c r="E30" s="1"/>
      <c r="F30" s="1"/>
      <c r="G30" s="3"/>
      <c r="H30" s="2"/>
      <c r="I30" s="2"/>
      <c r="J30" s="2"/>
      <c r="K30" s="2"/>
      <c r="L30" s="2"/>
    </row>
    <row r="31" spans="1:12" ht="15.75" x14ac:dyDescent="0.25">
      <c r="A31" s="1"/>
      <c r="B31" s="1"/>
      <c r="C31" s="1"/>
      <c r="D31" s="1"/>
      <c r="E31" s="1"/>
      <c r="F31" s="1"/>
      <c r="G31" s="2"/>
      <c r="H31" s="2"/>
      <c r="I31" s="2"/>
      <c r="J31" s="2"/>
      <c r="K31" s="2"/>
      <c r="L31" s="2"/>
    </row>
    <row r="32" spans="1:12" ht="15.75" x14ac:dyDescent="0.25">
      <c r="A32" s="2" t="s">
        <v>1</v>
      </c>
      <c r="B32" s="368" t="s">
        <v>65</v>
      </c>
      <c r="C32" s="369"/>
      <c r="D32" s="369"/>
      <c r="E32" s="369"/>
      <c r="F32" s="369"/>
      <c r="G32" s="369"/>
      <c r="H32" s="2"/>
      <c r="I32" s="2"/>
      <c r="J32" s="2"/>
      <c r="K32" s="2"/>
      <c r="L32" s="2"/>
    </row>
    <row r="33" spans="1:12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6.5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5" thickBot="1" x14ac:dyDescent="0.3">
      <c r="A35" s="4"/>
      <c r="B35" s="5"/>
      <c r="C35" s="6"/>
      <c r="D35" s="7"/>
      <c r="E35" s="7"/>
      <c r="F35" s="8" t="s">
        <v>2</v>
      </c>
      <c r="G35" s="9"/>
      <c r="H35" s="2"/>
      <c r="I35" s="370"/>
      <c r="J35" s="367"/>
      <c r="K35" s="367"/>
      <c r="L35" s="2"/>
    </row>
    <row r="36" spans="1:12" ht="16.5" thickBot="1" x14ac:dyDescent="0.3">
      <c r="A36" s="371" t="s">
        <v>3</v>
      </c>
      <c r="B36" s="367"/>
      <c r="C36" s="372"/>
      <c r="D36" s="10" t="s">
        <v>4</v>
      </c>
      <c r="E36" s="10" t="s">
        <v>5</v>
      </c>
      <c r="F36" s="373" t="s">
        <v>6</v>
      </c>
      <c r="G36" s="374"/>
      <c r="H36" s="2"/>
      <c r="I36" s="2"/>
      <c r="J36" s="2"/>
      <c r="K36" s="2"/>
      <c r="L36" s="2"/>
    </row>
    <row r="37" spans="1:12" ht="16.5" thickBot="1" x14ac:dyDescent="0.3">
      <c r="A37" s="11"/>
      <c r="B37" s="2"/>
      <c r="C37" s="12"/>
      <c r="D37" s="13"/>
      <c r="E37" s="13"/>
      <c r="F37" s="4" t="s">
        <v>7</v>
      </c>
      <c r="G37" s="14" t="s">
        <v>8</v>
      </c>
      <c r="H37" s="4" t="s">
        <v>9</v>
      </c>
      <c r="I37" s="4" t="s">
        <v>10</v>
      </c>
      <c r="J37" s="375" t="s">
        <v>11</v>
      </c>
      <c r="K37" s="376"/>
      <c r="L37" s="374"/>
    </row>
    <row r="38" spans="1:12" ht="15.75" x14ac:dyDescent="0.25">
      <c r="A38" s="377" t="s">
        <v>130</v>
      </c>
      <c r="B38" s="378"/>
      <c r="C38" s="379"/>
      <c r="D38" s="15">
        <v>200</v>
      </c>
      <c r="E38" s="16" t="s">
        <v>12</v>
      </c>
      <c r="F38" s="17">
        <v>20.6</v>
      </c>
      <c r="G38" s="18">
        <f>F38*D38</f>
        <v>4120</v>
      </c>
      <c r="H38" s="19">
        <f>D38*L38</f>
        <v>200</v>
      </c>
      <c r="I38" s="20">
        <f>F38*H38</f>
        <v>4120</v>
      </c>
      <c r="J38" s="21" t="s">
        <v>13</v>
      </c>
      <c r="K38" s="22"/>
      <c r="L38" s="23">
        <v>1</v>
      </c>
    </row>
    <row r="39" spans="1:12" ht="15.75" x14ac:dyDescent="0.25">
      <c r="A39" s="363" t="s">
        <v>40</v>
      </c>
      <c r="B39" s="364"/>
      <c r="C39" s="365"/>
      <c r="D39" s="24">
        <v>2</v>
      </c>
      <c r="E39" s="25" t="s">
        <v>12</v>
      </c>
      <c r="F39" s="26">
        <v>2.6</v>
      </c>
      <c r="G39" s="27">
        <f>D39*F39</f>
        <v>5.2</v>
      </c>
      <c r="H39" s="28">
        <f>D39*L38</f>
        <v>2</v>
      </c>
      <c r="I39" s="29">
        <f>F39*H39</f>
        <v>5.2</v>
      </c>
      <c r="J39" s="30" t="s">
        <v>14</v>
      </c>
      <c r="K39" s="31"/>
      <c r="L39" s="32">
        <f>SUM(I38:I42)</f>
        <v>4220.87</v>
      </c>
    </row>
    <row r="40" spans="1:12" ht="15.75" x14ac:dyDescent="0.25">
      <c r="A40" s="363" t="s">
        <v>41</v>
      </c>
      <c r="B40" s="364"/>
      <c r="C40" s="365"/>
      <c r="D40" s="24">
        <v>1</v>
      </c>
      <c r="E40" s="25" t="s">
        <v>12</v>
      </c>
      <c r="F40" s="26">
        <v>58.17</v>
      </c>
      <c r="G40" s="27">
        <f>D40*F40</f>
        <v>58.17</v>
      </c>
      <c r="H40" s="28">
        <f>D40*L38</f>
        <v>1</v>
      </c>
      <c r="I40" s="29">
        <f>F40*H40</f>
        <v>58.17</v>
      </c>
      <c r="J40" s="380" t="s">
        <v>15</v>
      </c>
      <c r="K40" s="381"/>
      <c r="L40" s="34">
        <f>G48*L38</f>
        <v>12000</v>
      </c>
    </row>
    <row r="41" spans="1:12" ht="15.75" x14ac:dyDescent="0.25">
      <c r="A41" s="363" t="s">
        <v>58</v>
      </c>
      <c r="B41" s="364"/>
      <c r="C41" s="365"/>
      <c r="D41" s="24">
        <v>2.5</v>
      </c>
      <c r="E41" s="25" t="s">
        <v>12</v>
      </c>
      <c r="F41" s="26">
        <v>15</v>
      </c>
      <c r="G41" s="27">
        <f>D41*F41</f>
        <v>37.5</v>
      </c>
      <c r="H41" s="28">
        <f>D41*L38</f>
        <v>2.5</v>
      </c>
      <c r="I41" s="29">
        <f>F41*H41</f>
        <v>37.5</v>
      </c>
      <c r="J41" s="2"/>
      <c r="K41" s="2"/>
      <c r="L41" s="2"/>
    </row>
    <row r="42" spans="1:12" ht="16.5" thickBot="1" x14ac:dyDescent="0.3">
      <c r="A42" s="363"/>
      <c r="B42" s="364"/>
      <c r="C42" s="365"/>
      <c r="D42" s="24"/>
      <c r="E42" s="25"/>
      <c r="F42" s="26"/>
      <c r="G42" s="27">
        <f>D42*F42</f>
        <v>0</v>
      </c>
      <c r="H42" s="28">
        <f>D42*L38</f>
        <v>0</v>
      </c>
      <c r="I42" s="29">
        <f>F42*H42</f>
        <v>0</v>
      </c>
      <c r="J42" s="2"/>
      <c r="K42" s="2"/>
      <c r="L42" s="2"/>
    </row>
    <row r="43" spans="1:12" ht="15.75" x14ac:dyDescent="0.25">
      <c r="A43" s="50" t="s">
        <v>16</v>
      </c>
      <c r="B43" s="51"/>
      <c r="C43" s="51"/>
      <c r="D43" s="52"/>
      <c r="E43" s="52"/>
      <c r="F43" s="53"/>
      <c r="G43" s="20">
        <f>SUM(G38:G42)</f>
        <v>4220.87</v>
      </c>
      <c r="H43" s="2"/>
      <c r="I43" s="2"/>
      <c r="J43" s="2"/>
      <c r="K43" s="2"/>
      <c r="L43" s="2"/>
    </row>
    <row r="44" spans="1:12" ht="15.75" x14ac:dyDescent="0.25">
      <c r="A44" s="54" t="s">
        <v>17</v>
      </c>
      <c r="B44" s="55"/>
      <c r="C44" s="55"/>
      <c r="D44" s="56"/>
      <c r="E44" s="56"/>
      <c r="F44" s="57"/>
      <c r="G44" s="29">
        <f>G43*0.1</f>
        <v>422.08699999999999</v>
      </c>
      <c r="H44" s="2"/>
      <c r="I44" s="2"/>
      <c r="J44" s="2"/>
      <c r="K44" s="2"/>
      <c r="L44" s="2"/>
    </row>
    <row r="45" spans="1:12" ht="16.5" thickBot="1" x14ac:dyDescent="0.3">
      <c r="A45" s="54" t="s">
        <v>18</v>
      </c>
      <c r="B45" s="55"/>
      <c r="C45" s="55"/>
      <c r="D45" s="56"/>
      <c r="E45" s="56"/>
      <c r="F45" s="58"/>
      <c r="G45" s="29">
        <f>SUM(G43:G44)</f>
        <v>4642.9570000000003</v>
      </c>
      <c r="H45" s="2"/>
      <c r="I45" s="2"/>
      <c r="J45" s="2"/>
      <c r="K45" s="2"/>
      <c r="L45" s="2"/>
    </row>
    <row r="46" spans="1:12" ht="15.75" x14ac:dyDescent="0.25">
      <c r="A46" s="59" t="s">
        <v>19</v>
      </c>
      <c r="B46" s="33"/>
      <c r="C46" s="33"/>
      <c r="D46" s="60"/>
      <c r="E46" s="60"/>
      <c r="F46" s="61">
        <v>1</v>
      </c>
      <c r="G46" s="27">
        <f>G45/F46</f>
        <v>4642.9570000000003</v>
      </c>
      <c r="H46" s="2"/>
      <c r="I46" s="2"/>
      <c r="J46" s="2"/>
      <c r="K46" s="2"/>
      <c r="L46" s="2"/>
    </row>
    <row r="47" spans="1:12" ht="15.75" x14ac:dyDescent="0.25">
      <c r="A47" s="382" t="s">
        <v>20</v>
      </c>
      <c r="B47" s="364"/>
      <c r="C47" s="364"/>
      <c r="D47" s="364"/>
      <c r="E47" s="364"/>
      <c r="F47" s="365"/>
      <c r="G47" s="62">
        <f>G46/G48</f>
        <v>0.38691308333333335</v>
      </c>
      <c r="H47" s="2"/>
      <c r="I47" s="2"/>
      <c r="J47" s="2"/>
      <c r="K47" s="2"/>
      <c r="L47" s="2"/>
    </row>
    <row r="48" spans="1:12" ht="15.75" x14ac:dyDescent="0.25">
      <c r="A48" s="382" t="s">
        <v>21</v>
      </c>
      <c r="B48" s="364"/>
      <c r="C48" s="364"/>
      <c r="D48" s="364"/>
      <c r="E48" s="364"/>
      <c r="F48" s="365"/>
      <c r="G48" s="29">
        <v>12000</v>
      </c>
      <c r="H48" s="2"/>
      <c r="I48" s="2"/>
      <c r="J48" s="2"/>
      <c r="K48" s="2"/>
      <c r="L48" s="2"/>
    </row>
    <row r="49" spans="1:12" ht="15.75" x14ac:dyDescent="0.25">
      <c r="A49" s="382" t="s">
        <v>22</v>
      </c>
      <c r="B49" s="364"/>
      <c r="C49" s="364"/>
      <c r="D49" s="364"/>
      <c r="E49" s="364"/>
      <c r="F49" s="365"/>
      <c r="G49" s="29">
        <f>G48*0.08</f>
        <v>960</v>
      </c>
      <c r="H49" s="2"/>
      <c r="I49" s="2"/>
      <c r="J49" s="2"/>
      <c r="K49" s="2"/>
      <c r="L49" s="2"/>
    </row>
    <row r="50" spans="1:12" ht="15.75" x14ac:dyDescent="0.25">
      <c r="A50" s="382" t="s">
        <v>23</v>
      </c>
      <c r="B50" s="364"/>
      <c r="C50" s="364"/>
      <c r="D50" s="364"/>
      <c r="E50" s="364"/>
      <c r="F50" s="365"/>
      <c r="G50" s="29">
        <f>G49+G48</f>
        <v>12960</v>
      </c>
      <c r="H50" s="2"/>
      <c r="I50" s="2"/>
      <c r="J50" s="2"/>
      <c r="K50" s="2"/>
      <c r="L50" s="2"/>
    </row>
    <row r="51" spans="1:12" ht="15.75" x14ac:dyDescent="0.25">
      <c r="A51" s="382" t="s">
        <v>24</v>
      </c>
      <c r="B51" s="364"/>
      <c r="C51" s="364"/>
      <c r="D51" s="364"/>
      <c r="E51" s="364"/>
      <c r="F51" s="365"/>
      <c r="G51" s="29">
        <f>G50</f>
        <v>12960</v>
      </c>
      <c r="H51" s="2"/>
      <c r="I51" s="2"/>
      <c r="J51" s="2"/>
      <c r="K51" s="2"/>
      <c r="L51" s="2"/>
    </row>
    <row r="52" spans="1:12" ht="16.5" thickBot="1" x14ac:dyDescent="0.3">
      <c r="A52" s="383" t="s">
        <v>25</v>
      </c>
      <c r="B52" s="384"/>
      <c r="C52" s="384"/>
      <c r="D52" s="384"/>
      <c r="E52" s="384"/>
      <c r="F52" s="385"/>
      <c r="G52" s="63">
        <f>(G46+G49)/G51</f>
        <v>0.43232692901234571</v>
      </c>
      <c r="H52" s="2"/>
      <c r="I52" s="2"/>
      <c r="J52" s="2"/>
      <c r="K52" s="2"/>
      <c r="L52" s="2"/>
    </row>
    <row r="53" spans="1:12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x14ac:dyDescent="0.25">
      <c r="A54" s="366" t="s">
        <v>0</v>
      </c>
      <c r="B54" s="367"/>
      <c r="C54" s="367"/>
      <c r="D54" s="367"/>
      <c r="E54" s="367"/>
      <c r="F54" s="367"/>
      <c r="G54" s="367"/>
      <c r="H54" s="2"/>
      <c r="I54" s="2"/>
      <c r="J54" s="2"/>
      <c r="K54" s="2"/>
      <c r="L54" s="2"/>
    </row>
    <row r="55" spans="1:12" ht="15.75" x14ac:dyDescent="0.25">
      <c r="A55" s="1"/>
      <c r="B55" s="1"/>
      <c r="C55" s="1"/>
      <c r="D55" s="1"/>
      <c r="E55" s="1"/>
      <c r="F55" s="1"/>
      <c r="G55" s="3"/>
      <c r="H55" s="2"/>
      <c r="I55" s="2"/>
      <c r="J55" s="2"/>
      <c r="K55" s="2"/>
      <c r="L55" s="2"/>
    </row>
    <row r="56" spans="1:12" ht="15.75" x14ac:dyDescent="0.25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</row>
    <row r="57" spans="1:12" ht="15.75" x14ac:dyDescent="0.25">
      <c r="A57" s="2" t="s">
        <v>1</v>
      </c>
      <c r="B57" s="368" t="s">
        <v>60</v>
      </c>
      <c r="C57" s="369"/>
      <c r="D57" s="369"/>
      <c r="E57" s="369"/>
      <c r="F57" s="369"/>
      <c r="G57" s="369"/>
      <c r="H57" s="2"/>
      <c r="I57" s="2"/>
      <c r="J57" s="2"/>
      <c r="K57" s="2"/>
      <c r="L57" s="2"/>
    </row>
    <row r="58" spans="1:12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6.5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6.5" thickBot="1" x14ac:dyDescent="0.3">
      <c r="A60" s="4"/>
      <c r="B60" s="5"/>
      <c r="C60" s="6"/>
      <c r="D60" s="7"/>
      <c r="E60" s="7"/>
      <c r="F60" s="8" t="s">
        <v>2</v>
      </c>
      <c r="G60" s="9"/>
      <c r="H60" s="2"/>
      <c r="I60" s="370"/>
      <c r="J60" s="367"/>
      <c r="K60" s="367"/>
      <c r="L60" s="2"/>
    </row>
    <row r="61" spans="1:12" ht="16.5" thickBot="1" x14ac:dyDescent="0.3">
      <c r="A61" s="371" t="s">
        <v>3</v>
      </c>
      <c r="B61" s="367"/>
      <c r="C61" s="372"/>
      <c r="D61" s="10" t="s">
        <v>4</v>
      </c>
      <c r="E61" s="10" t="s">
        <v>5</v>
      </c>
      <c r="F61" s="373" t="s">
        <v>6</v>
      </c>
      <c r="G61" s="374"/>
      <c r="H61" s="2"/>
      <c r="I61" s="2"/>
      <c r="J61" s="2"/>
      <c r="K61" s="2"/>
      <c r="L61" s="2"/>
    </row>
    <row r="62" spans="1:12" ht="16.5" thickBot="1" x14ac:dyDescent="0.3">
      <c r="A62" s="11"/>
      <c r="B62" s="2"/>
      <c r="C62" s="12"/>
      <c r="D62" s="13"/>
      <c r="E62" s="13"/>
      <c r="F62" s="4" t="s">
        <v>7</v>
      </c>
      <c r="G62" s="14" t="s">
        <v>8</v>
      </c>
      <c r="H62" s="4" t="s">
        <v>9</v>
      </c>
      <c r="I62" s="4" t="s">
        <v>10</v>
      </c>
      <c r="J62" s="375" t="s">
        <v>11</v>
      </c>
      <c r="K62" s="376"/>
      <c r="L62" s="374"/>
    </row>
    <row r="63" spans="1:12" ht="15.75" x14ac:dyDescent="0.25">
      <c r="A63" s="386" t="s">
        <v>61</v>
      </c>
      <c r="B63" s="378"/>
      <c r="C63" s="379"/>
      <c r="D63" s="15">
        <v>30</v>
      </c>
      <c r="E63" s="16" t="s">
        <v>12</v>
      </c>
      <c r="F63" s="17">
        <v>17.18</v>
      </c>
      <c r="G63" s="18">
        <f t="shared" ref="G63:G68" si="2">D63*F63</f>
        <v>515.4</v>
      </c>
      <c r="H63" s="19">
        <f>D63*L63</f>
        <v>30</v>
      </c>
      <c r="I63" s="20">
        <f t="shared" ref="I63:I68" si="3">F63*H63</f>
        <v>515.4</v>
      </c>
      <c r="J63" s="21" t="s">
        <v>13</v>
      </c>
      <c r="K63" s="22"/>
      <c r="L63" s="23">
        <v>1</v>
      </c>
    </row>
    <row r="64" spans="1:12" ht="15.75" x14ac:dyDescent="0.25">
      <c r="A64" s="363" t="s">
        <v>62</v>
      </c>
      <c r="B64" s="364"/>
      <c r="C64" s="365"/>
      <c r="D64" s="24">
        <v>25</v>
      </c>
      <c r="E64" s="25" t="s">
        <v>12</v>
      </c>
      <c r="F64" s="26">
        <v>14.3</v>
      </c>
      <c r="G64" s="27">
        <f t="shared" si="2"/>
        <v>357.5</v>
      </c>
      <c r="H64" s="28">
        <f>D64*L63</f>
        <v>25</v>
      </c>
      <c r="I64" s="29">
        <f t="shared" si="3"/>
        <v>357.5</v>
      </c>
      <c r="J64" s="30" t="s">
        <v>14</v>
      </c>
      <c r="K64" s="31"/>
      <c r="L64" s="32">
        <f>SUM(I63:I68)</f>
        <v>2070.5300000000002</v>
      </c>
    </row>
    <row r="65" spans="1:12" ht="15.75" x14ac:dyDescent="0.25">
      <c r="A65" s="363" t="s">
        <v>63</v>
      </c>
      <c r="B65" s="364"/>
      <c r="C65" s="365"/>
      <c r="D65" s="24">
        <v>25</v>
      </c>
      <c r="E65" s="25" t="s">
        <v>12</v>
      </c>
      <c r="F65" s="26">
        <v>11.4</v>
      </c>
      <c r="G65" s="27">
        <f t="shared" si="2"/>
        <v>285</v>
      </c>
      <c r="H65" s="28">
        <f>D65*L63</f>
        <v>25</v>
      </c>
      <c r="I65" s="29">
        <f t="shared" si="3"/>
        <v>285</v>
      </c>
      <c r="J65" s="380" t="s">
        <v>15</v>
      </c>
      <c r="K65" s="381"/>
      <c r="L65" s="34">
        <f>G74*L63</f>
        <v>6000</v>
      </c>
    </row>
    <row r="66" spans="1:12" ht="15.75" x14ac:dyDescent="0.25">
      <c r="A66" s="363" t="s">
        <v>64</v>
      </c>
      <c r="B66" s="364"/>
      <c r="C66" s="365"/>
      <c r="D66" s="24">
        <v>6</v>
      </c>
      <c r="E66" s="25" t="s">
        <v>12</v>
      </c>
      <c r="F66" s="26">
        <v>92.58</v>
      </c>
      <c r="G66" s="27">
        <f t="shared" si="2"/>
        <v>555.48</v>
      </c>
      <c r="H66" s="28">
        <f>D66*L63</f>
        <v>6</v>
      </c>
      <c r="I66" s="29">
        <f t="shared" si="3"/>
        <v>555.48</v>
      </c>
      <c r="J66" s="2"/>
      <c r="K66" s="2"/>
      <c r="L66" s="2"/>
    </row>
    <row r="67" spans="1:12" ht="15.75" x14ac:dyDescent="0.25">
      <c r="A67" s="363" t="s">
        <v>56</v>
      </c>
      <c r="B67" s="364"/>
      <c r="C67" s="365"/>
      <c r="D67" s="24">
        <v>15</v>
      </c>
      <c r="E67" s="25" t="s">
        <v>59</v>
      </c>
      <c r="F67" s="26">
        <v>23.81</v>
      </c>
      <c r="G67" s="27">
        <f t="shared" si="2"/>
        <v>357.15</v>
      </c>
      <c r="H67" s="28">
        <f>D67*L63</f>
        <v>15</v>
      </c>
      <c r="I67" s="29">
        <f t="shared" si="3"/>
        <v>357.15</v>
      </c>
      <c r="J67" s="2"/>
      <c r="K67" s="2"/>
      <c r="L67" s="2"/>
    </row>
    <row r="68" spans="1:12" ht="16.5" thickBot="1" x14ac:dyDescent="0.3">
      <c r="A68" s="363"/>
      <c r="B68" s="364"/>
      <c r="C68" s="365"/>
      <c r="D68" s="24"/>
      <c r="E68" s="25"/>
      <c r="F68" s="26"/>
      <c r="G68" s="27">
        <f t="shared" si="2"/>
        <v>0</v>
      </c>
      <c r="H68" s="28">
        <f>D68*L63</f>
        <v>0</v>
      </c>
      <c r="I68" s="29">
        <f t="shared" si="3"/>
        <v>0</v>
      </c>
      <c r="J68" s="2"/>
      <c r="K68" s="2"/>
      <c r="L68" s="2"/>
    </row>
    <row r="69" spans="1:12" ht="15.75" x14ac:dyDescent="0.25">
      <c r="A69" s="50" t="s">
        <v>16</v>
      </c>
      <c r="B69" s="51"/>
      <c r="C69" s="51"/>
      <c r="D69" s="52"/>
      <c r="E69" s="52"/>
      <c r="F69" s="53"/>
      <c r="G69" s="20">
        <f>SUM(G63:G68)</f>
        <v>2070.5300000000002</v>
      </c>
      <c r="H69" s="2"/>
      <c r="I69" s="2"/>
      <c r="J69" s="2"/>
      <c r="K69" s="2"/>
      <c r="L69" s="2"/>
    </row>
    <row r="70" spans="1:12" ht="15.75" x14ac:dyDescent="0.25">
      <c r="A70" s="54" t="s">
        <v>17</v>
      </c>
      <c r="B70" s="55"/>
      <c r="C70" s="55"/>
      <c r="D70" s="56"/>
      <c r="E70" s="56"/>
      <c r="F70" s="57"/>
      <c r="G70" s="29">
        <f>G69*0.1</f>
        <v>207.05300000000003</v>
      </c>
      <c r="H70" s="2"/>
      <c r="I70" s="2"/>
      <c r="J70" s="2"/>
      <c r="K70" s="2"/>
      <c r="L70" s="2"/>
    </row>
    <row r="71" spans="1:12" ht="16.5" thickBot="1" x14ac:dyDescent="0.3">
      <c r="A71" s="54" t="s">
        <v>18</v>
      </c>
      <c r="B71" s="55"/>
      <c r="C71" s="55"/>
      <c r="D71" s="56"/>
      <c r="E71" s="56"/>
      <c r="F71" s="58"/>
      <c r="G71" s="29">
        <f>SUM(G69:G70)</f>
        <v>2277.5830000000001</v>
      </c>
      <c r="H71" s="2"/>
      <c r="I71" s="2"/>
      <c r="J71" s="2"/>
      <c r="K71" s="2"/>
      <c r="L71" s="2"/>
    </row>
    <row r="72" spans="1:12" ht="15.75" x14ac:dyDescent="0.25">
      <c r="A72" s="59" t="s">
        <v>19</v>
      </c>
      <c r="B72" s="33"/>
      <c r="C72" s="33"/>
      <c r="D72" s="60"/>
      <c r="E72" s="60"/>
      <c r="F72" s="61">
        <v>1</v>
      </c>
      <c r="G72" s="27">
        <f>G71/F72</f>
        <v>2277.5830000000001</v>
      </c>
      <c r="H72" s="2"/>
      <c r="I72" s="2"/>
      <c r="J72" s="2"/>
      <c r="K72" s="2"/>
      <c r="L72" s="2"/>
    </row>
    <row r="73" spans="1:12" ht="15.75" x14ac:dyDescent="0.25">
      <c r="A73" s="382" t="s">
        <v>20</v>
      </c>
      <c r="B73" s="364"/>
      <c r="C73" s="364"/>
      <c r="D73" s="364"/>
      <c r="E73" s="364"/>
      <c r="F73" s="365"/>
      <c r="G73" s="62">
        <f>G72/G74</f>
        <v>0.37959716666666671</v>
      </c>
      <c r="H73" s="2"/>
      <c r="I73" s="2"/>
      <c r="J73" s="2"/>
      <c r="K73" s="2"/>
      <c r="L73" s="2"/>
    </row>
    <row r="74" spans="1:12" ht="15.75" x14ac:dyDescent="0.25">
      <c r="A74" s="382" t="s">
        <v>21</v>
      </c>
      <c r="B74" s="364"/>
      <c r="C74" s="364"/>
      <c r="D74" s="364"/>
      <c r="E74" s="364"/>
      <c r="F74" s="365"/>
      <c r="G74" s="29">
        <v>6000</v>
      </c>
      <c r="H74" s="2"/>
      <c r="I74" s="2"/>
      <c r="J74" s="2"/>
      <c r="K74" s="2"/>
      <c r="L74" s="2"/>
    </row>
    <row r="75" spans="1:12" ht="15.75" x14ac:dyDescent="0.25">
      <c r="A75" s="382" t="s">
        <v>22</v>
      </c>
      <c r="B75" s="364"/>
      <c r="C75" s="364"/>
      <c r="D75" s="364"/>
      <c r="E75" s="364"/>
      <c r="F75" s="365"/>
      <c r="G75" s="29">
        <f>G74*0.08</f>
        <v>480</v>
      </c>
      <c r="H75" s="2"/>
      <c r="I75" s="2"/>
      <c r="J75" s="2"/>
      <c r="K75" s="2"/>
      <c r="L75" s="2"/>
    </row>
    <row r="76" spans="1:12" ht="15.75" x14ac:dyDescent="0.25">
      <c r="A76" s="382" t="s">
        <v>23</v>
      </c>
      <c r="B76" s="364"/>
      <c r="C76" s="364"/>
      <c r="D76" s="364"/>
      <c r="E76" s="364"/>
      <c r="F76" s="365"/>
      <c r="G76" s="29">
        <f>G75+G74</f>
        <v>6480</v>
      </c>
      <c r="H76" s="2"/>
      <c r="I76" s="2"/>
      <c r="J76" s="2"/>
      <c r="K76" s="2"/>
      <c r="L76" s="2"/>
    </row>
    <row r="77" spans="1:12" ht="15.75" x14ac:dyDescent="0.25">
      <c r="A77" s="382" t="s">
        <v>24</v>
      </c>
      <c r="B77" s="364"/>
      <c r="C77" s="364"/>
      <c r="D77" s="364"/>
      <c r="E77" s="364"/>
      <c r="F77" s="365"/>
      <c r="G77" s="29">
        <f>G76</f>
        <v>6480</v>
      </c>
      <c r="H77" s="2"/>
      <c r="I77" s="2"/>
      <c r="J77" s="2"/>
      <c r="K77" s="2"/>
      <c r="L77" s="2"/>
    </row>
    <row r="78" spans="1:12" ht="16.5" thickBot="1" x14ac:dyDescent="0.3">
      <c r="A78" s="383" t="s">
        <v>25</v>
      </c>
      <c r="B78" s="384"/>
      <c r="C78" s="384"/>
      <c r="D78" s="384"/>
      <c r="E78" s="384"/>
      <c r="F78" s="385"/>
      <c r="G78" s="63">
        <f>(G72+G75)/G77</f>
        <v>0.42555293209876544</v>
      </c>
      <c r="H78" s="2"/>
      <c r="I78" s="2"/>
      <c r="J78" s="2"/>
      <c r="K78" s="2"/>
      <c r="L78" s="2"/>
    </row>
    <row r="79" spans="1:12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</sheetData>
  <mergeCells count="55">
    <mergeCell ref="A68:C68"/>
    <mergeCell ref="A54:G54"/>
    <mergeCell ref="B57:G57"/>
    <mergeCell ref="J62:L62"/>
    <mergeCell ref="A63:C63"/>
    <mergeCell ref="A64:C64"/>
    <mergeCell ref="A65:C65"/>
    <mergeCell ref="J65:K65"/>
    <mergeCell ref="I60:K60"/>
    <mergeCell ref="A61:C61"/>
    <mergeCell ref="F61:G61"/>
    <mergeCell ref="A66:C66"/>
    <mergeCell ref="A67:C67"/>
    <mergeCell ref="A75:F75"/>
    <mergeCell ref="A76:F76"/>
    <mergeCell ref="A77:F77"/>
    <mergeCell ref="A78:F78"/>
    <mergeCell ref="A73:F73"/>
    <mergeCell ref="A74:F74"/>
    <mergeCell ref="A41:C41"/>
    <mergeCell ref="A42:C42"/>
    <mergeCell ref="A29:G29"/>
    <mergeCell ref="B32:G32"/>
    <mergeCell ref="I35:K35"/>
    <mergeCell ref="A36:C36"/>
    <mergeCell ref="F36:G36"/>
    <mergeCell ref="J37:L37"/>
    <mergeCell ref="A38:C38"/>
    <mergeCell ref="A39:C39"/>
    <mergeCell ref="A40:C40"/>
    <mergeCell ref="J40:K40"/>
    <mergeCell ref="A49:F49"/>
    <mergeCell ref="A50:F50"/>
    <mergeCell ref="A51:F51"/>
    <mergeCell ref="A52:F52"/>
    <mergeCell ref="A47:F47"/>
    <mergeCell ref="A48:F48"/>
    <mergeCell ref="A24:F24"/>
    <mergeCell ref="A25:F25"/>
    <mergeCell ref="A26:F26"/>
    <mergeCell ref="A27:F27"/>
    <mergeCell ref="A22:F22"/>
    <mergeCell ref="A23:F23"/>
    <mergeCell ref="A16:C16"/>
    <mergeCell ref="A1:G1"/>
    <mergeCell ref="A4:G4"/>
    <mergeCell ref="B7:G7"/>
    <mergeCell ref="I10:K10"/>
    <mergeCell ref="A11:C11"/>
    <mergeCell ref="F11:G11"/>
    <mergeCell ref="J12:L12"/>
    <mergeCell ref="A13:C13"/>
    <mergeCell ref="A14:C14"/>
    <mergeCell ref="A15:C15"/>
    <mergeCell ref="J15:K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40DA-96A8-48BC-A07B-9F99171EE0D3}">
  <dimension ref="B1:R22"/>
  <sheetViews>
    <sheetView workbookViewId="0">
      <selection activeCell="F21" sqref="F21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534</v>
      </c>
      <c r="C2" s="355"/>
      <c r="D2" s="355"/>
      <c r="E2" s="355"/>
      <c r="F2" s="356"/>
      <c r="H2" s="354" t="s">
        <v>476</v>
      </c>
      <c r="I2" s="355"/>
      <c r="J2" s="355"/>
      <c r="K2" s="355"/>
      <c r="L2" s="356"/>
      <c r="N2" s="354" t="s">
        <v>530</v>
      </c>
      <c r="O2" s="355"/>
      <c r="P2" s="355"/>
      <c r="Q2" s="355"/>
      <c r="R2" s="356"/>
    </row>
    <row r="3" spans="2:18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</row>
    <row r="4" spans="2:18" ht="15.75" x14ac:dyDescent="0.25">
      <c r="B4" s="193" t="s">
        <v>39</v>
      </c>
      <c r="C4" s="108">
        <v>600</v>
      </c>
      <c r="D4" s="259" t="s">
        <v>12</v>
      </c>
      <c r="E4" s="260">
        <v>21.1</v>
      </c>
      <c r="F4" s="261">
        <f>C4*E4</f>
        <v>12660</v>
      </c>
      <c r="H4" s="193" t="s">
        <v>93</v>
      </c>
      <c r="I4" s="108">
        <v>30</v>
      </c>
      <c r="J4" s="108" t="s">
        <v>108</v>
      </c>
      <c r="K4" s="253">
        <v>26.35</v>
      </c>
      <c r="L4" s="261">
        <f>I4*K4</f>
        <v>790.5</v>
      </c>
      <c r="N4" s="193" t="s">
        <v>48</v>
      </c>
      <c r="O4" s="108">
        <v>50</v>
      </c>
      <c r="P4" s="108" t="s">
        <v>12</v>
      </c>
      <c r="Q4" s="253">
        <v>7.5</v>
      </c>
      <c r="R4" s="261">
        <f>O4*Q4</f>
        <v>375</v>
      </c>
    </row>
    <row r="5" spans="2:18" ht="15.75" x14ac:dyDescent="0.25">
      <c r="B5" s="193" t="s">
        <v>535</v>
      </c>
      <c r="C5" s="108">
        <v>400</v>
      </c>
      <c r="D5" s="254" t="s">
        <v>12</v>
      </c>
      <c r="E5" s="253">
        <v>13.5</v>
      </c>
      <c r="F5" s="203">
        <f t="shared" ref="F5:F12" si="0">C5*E5</f>
        <v>5400</v>
      </c>
      <c r="H5" s="193" t="s">
        <v>537</v>
      </c>
      <c r="I5" s="108">
        <v>64</v>
      </c>
      <c r="J5" s="108" t="s">
        <v>12</v>
      </c>
      <c r="K5" s="253">
        <v>4.9000000000000004</v>
      </c>
      <c r="L5" s="203">
        <f t="shared" ref="L5:L12" si="1">I5*K5</f>
        <v>313.60000000000002</v>
      </c>
      <c r="N5" s="193" t="s">
        <v>44</v>
      </c>
      <c r="O5" s="108">
        <v>30</v>
      </c>
      <c r="P5" s="108" t="s">
        <v>12</v>
      </c>
      <c r="Q5" s="253">
        <v>10.72</v>
      </c>
      <c r="R5" s="203">
        <f t="shared" ref="R5:R12" si="2">O5*Q5</f>
        <v>321.60000000000002</v>
      </c>
    </row>
    <row r="6" spans="2:18" ht="15.75" x14ac:dyDescent="0.25">
      <c r="B6" s="193" t="s">
        <v>404</v>
      </c>
      <c r="C6" s="108">
        <v>490</v>
      </c>
      <c r="D6" s="254" t="s">
        <v>12</v>
      </c>
      <c r="E6" s="253">
        <v>1.98</v>
      </c>
      <c r="F6" s="203">
        <f t="shared" si="0"/>
        <v>970.2</v>
      </c>
      <c r="H6" s="193" t="s">
        <v>84</v>
      </c>
      <c r="I6" s="108">
        <v>770</v>
      </c>
      <c r="J6" s="108" t="s">
        <v>12</v>
      </c>
      <c r="K6" s="253">
        <v>4.96</v>
      </c>
      <c r="L6" s="203">
        <f t="shared" si="1"/>
        <v>3819.2</v>
      </c>
      <c r="N6" s="193" t="s">
        <v>49</v>
      </c>
      <c r="O6" s="108">
        <v>10</v>
      </c>
      <c r="P6" s="108" t="s">
        <v>12</v>
      </c>
      <c r="Q6" s="253">
        <v>5.98</v>
      </c>
      <c r="R6" s="203">
        <f t="shared" si="2"/>
        <v>59.800000000000004</v>
      </c>
    </row>
    <row r="7" spans="2:18" ht="15.75" x14ac:dyDescent="0.25">
      <c r="B7" s="193" t="s">
        <v>536</v>
      </c>
      <c r="C7" s="108">
        <v>200</v>
      </c>
      <c r="D7" s="254" t="s">
        <v>59</v>
      </c>
      <c r="E7" s="253">
        <v>25.7</v>
      </c>
      <c r="F7" s="203">
        <f t="shared" si="0"/>
        <v>5140</v>
      </c>
      <c r="H7" s="193" t="s">
        <v>535</v>
      </c>
      <c r="I7" s="108">
        <v>440</v>
      </c>
      <c r="J7" s="108" t="s">
        <v>12</v>
      </c>
      <c r="K7" s="253">
        <v>13.5</v>
      </c>
      <c r="L7" s="203">
        <f t="shared" si="1"/>
        <v>5940</v>
      </c>
      <c r="N7" s="193" t="s">
        <v>38</v>
      </c>
      <c r="O7" s="108">
        <v>50</v>
      </c>
      <c r="P7" s="108" t="s">
        <v>12</v>
      </c>
      <c r="Q7" s="269">
        <v>26.9</v>
      </c>
      <c r="R7" s="203">
        <f t="shared" si="2"/>
        <v>1345</v>
      </c>
    </row>
    <row r="8" spans="2:18" ht="15.75" x14ac:dyDescent="0.25">
      <c r="B8" s="193"/>
      <c r="C8" s="108"/>
      <c r="D8" s="254"/>
      <c r="E8" s="253"/>
      <c r="F8" s="203">
        <f t="shared" si="0"/>
        <v>0</v>
      </c>
      <c r="H8" s="193" t="s">
        <v>39</v>
      </c>
      <c r="I8" s="108">
        <v>240</v>
      </c>
      <c r="J8" s="108" t="s">
        <v>59</v>
      </c>
      <c r="K8" s="269">
        <v>21.1</v>
      </c>
      <c r="L8" s="203">
        <f t="shared" si="1"/>
        <v>5064</v>
      </c>
      <c r="N8" s="193" t="s">
        <v>50</v>
      </c>
      <c r="O8" s="108">
        <v>1</v>
      </c>
      <c r="P8" s="108" t="s">
        <v>59</v>
      </c>
      <c r="Q8" s="253">
        <v>2.5499999999999998</v>
      </c>
      <c r="R8" s="203">
        <f t="shared" si="2"/>
        <v>2.5499999999999998</v>
      </c>
    </row>
    <row r="9" spans="2:18" ht="15.75" x14ac:dyDescent="0.25">
      <c r="B9" s="193"/>
      <c r="C9" s="108"/>
      <c r="D9" s="254"/>
      <c r="E9" s="253"/>
      <c r="F9" s="203">
        <f t="shared" si="0"/>
        <v>0</v>
      </c>
      <c r="H9" s="193" t="s">
        <v>538</v>
      </c>
      <c r="I9" s="108">
        <v>4</v>
      </c>
      <c r="J9" s="108" t="s">
        <v>428</v>
      </c>
      <c r="K9" s="253">
        <v>600</v>
      </c>
      <c r="L9" s="203">
        <f t="shared" si="1"/>
        <v>2400</v>
      </c>
      <c r="N9" s="193" t="s">
        <v>51</v>
      </c>
      <c r="O9" s="108">
        <v>2</v>
      </c>
      <c r="P9" s="108" t="s">
        <v>59</v>
      </c>
      <c r="Q9" s="253">
        <v>55</v>
      </c>
      <c r="R9" s="203">
        <f t="shared" si="2"/>
        <v>110</v>
      </c>
    </row>
    <row r="10" spans="2:18" ht="15.75" x14ac:dyDescent="0.25">
      <c r="B10" s="273"/>
      <c r="C10" s="267"/>
      <c r="D10" s="255"/>
      <c r="E10" s="253"/>
      <c r="F10" s="203">
        <f t="shared" si="0"/>
        <v>0</v>
      </c>
      <c r="H10" s="193" t="s">
        <v>539</v>
      </c>
      <c r="I10" s="108">
        <v>10</v>
      </c>
      <c r="J10" s="268" t="s">
        <v>59</v>
      </c>
      <c r="K10" s="253">
        <v>31.4</v>
      </c>
      <c r="L10" s="203">
        <f t="shared" si="1"/>
        <v>314</v>
      </c>
      <c r="N10" s="193" t="s">
        <v>526</v>
      </c>
      <c r="O10" s="108">
        <v>120</v>
      </c>
      <c r="P10" s="270" t="s">
        <v>12</v>
      </c>
      <c r="Q10" s="253">
        <v>15.98</v>
      </c>
      <c r="R10" s="203">
        <f t="shared" si="2"/>
        <v>1917.6000000000001</v>
      </c>
    </row>
    <row r="11" spans="2:18" ht="15.75" x14ac:dyDescent="0.25">
      <c r="B11" s="265"/>
      <c r="C11" s="108"/>
      <c r="D11" s="255"/>
      <c r="E11" s="253"/>
      <c r="F11" s="203">
        <f t="shared" si="0"/>
        <v>0</v>
      </c>
      <c r="H11" s="265"/>
      <c r="I11" s="267"/>
      <c r="J11" s="268"/>
      <c r="K11" s="269"/>
      <c r="L11" s="203">
        <f t="shared" si="1"/>
        <v>0</v>
      </c>
      <c r="N11" s="265"/>
      <c r="O11" s="267"/>
      <c r="P11" s="268"/>
      <c r="Q11" s="269"/>
      <c r="R11" s="203">
        <f t="shared" si="2"/>
        <v>0</v>
      </c>
    </row>
    <row r="12" spans="2:18" ht="15.75" x14ac:dyDescent="0.25">
      <c r="B12" s="266"/>
      <c r="C12" s="108"/>
      <c r="D12" s="255"/>
      <c r="E12" s="253"/>
      <c r="F12" s="203">
        <f t="shared" si="0"/>
        <v>0</v>
      </c>
      <c r="H12" s="266"/>
      <c r="I12" s="108"/>
      <c r="J12" s="255"/>
      <c r="K12" s="253"/>
      <c r="L12" s="203">
        <f t="shared" si="1"/>
        <v>0</v>
      </c>
      <c r="N12" s="266"/>
      <c r="O12" s="108"/>
      <c r="P12" s="255"/>
      <c r="Q12" s="253"/>
      <c r="R12" s="203">
        <f t="shared" si="2"/>
        <v>0</v>
      </c>
    </row>
    <row r="13" spans="2:18" ht="15" x14ac:dyDescent="0.25">
      <c r="B13" s="216" t="s">
        <v>512</v>
      </c>
      <c r="C13" s="217"/>
      <c r="D13" s="217"/>
      <c r="E13" s="217"/>
      <c r="F13" s="218"/>
      <c r="H13" s="216" t="s">
        <v>512</v>
      </c>
      <c r="I13" s="217"/>
      <c r="J13" s="217"/>
      <c r="K13" s="217"/>
      <c r="L13" s="218"/>
      <c r="N13" s="216" t="s">
        <v>512</v>
      </c>
      <c r="O13" s="217"/>
      <c r="P13" s="217"/>
      <c r="Q13" s="217"/>
      <c r="R13" s="218"/>
    </row>
    <row r="14" spans="2:18" ht="15" x14ac:dyDescent="0.25">
      <c r="B14" s="219"/>
      <c r="C14" s="220"/>
      <c r="D14" s="221"/>
      <c r="E14" s="221"/>
      <c r="F14" s="222">
        <f>C14*140</f>
        <v>0</v>
      </c>
      <c r="H14" s="219"/>
      <c r="I14" s="220"/>
      <c r="J14" s="221"/>
      <c r="K14" s="221"/>
      <c r="L14" s="222">
        <f>I14*140</f>
        <v>0</v>
      </c>
      <c r="N14" s="219"/>
      <c r="O14" s="220"/>
      <c r="P14" s="221"/>
      <c r="Q14" s="221"/>
      <c r="R14" s="222">
        <f>O14*140</f>
        <v>0</v>
      </c>
    </row>
    <row r="15" spans="2:18" ht="15" x14ac:dyDescent="0.25">
      <c r="B15" s="219"/>
      <c r="C15" s="220"/>
      <c r="D15" s="221"/>
      <c r="E15" s="221"/>
      <c r="F15" s="222">
        <f t="shared" ref="F15:F16" si="3">C15*140</f>
        <v>0</v>
      </c>
      <c r="H15" s="219"/>
      <c r="I15" s="220"/>
      <c r="J15" s="221"/>
      <c r="K15" s="221"/>
      <c r="L15" s="222">
        <f t="shared" ref="L15:L16" si="4">I15*140</f>
        <v>0</v>
      </c>
      <c r="N15" s="219"/>
      <c r="O15" s="220"/>
      <c r="P15" s="221"/>
      <c r="Q15" s="221"/>
      <c r="R15" s="222">
        <f t="shared" ref="R15:R16" si="5">O15*140</f>
        <v>0</v>
      </c>
    </row>
    <row r="16" spans="2:18" ht="15" x14ac:dyDescent="0.25">
      <c r="B16" s="219"/>
      <c r="C16" s="220"/>
      <c r="D16" s="221"/>
      <c r="E16" s="221"/>
      <c r="F16" s="222">
        <f t="shared" si="3"/>
        <v>0</v>
      </c>
      <c r="H16" s="219"/>
      <c r="I16" s="220"/>
      <c r="J16" s="221"/>
      <c r="K16" s="221"/>
      <c r="L16" s="222">
        <f t="shared" si="4"/>
        <v>0</v>
      </c>
      <c r="N16" s="219"/>
      <c r="O16" s="220"/>
      <c r="P16" s="221"/>
      <c r="Q16" s="221"/>
      <c r="R16" s="222">
        <f t="shared" si="5"/>
        <v>0</v>
      </c>
    </row>
    <row r="17" spans="2:18" ht="15" x14ac:dyDescent="0.25">
      <c r="B17" s="357" t="s">
        <v>510</v>
      </c>
      <c r="C17" s="358"/>
      <c r="D17" s="358"/>
      <c r="E17" s="358"/>
      <c r="F17" s="359"/>
      <c r="H17" s="357" t="s">
        <v>510</v>
      </c>
      <c r="I17" s="358"/>
      <c r="J17" s="358"/>
      <c r="K17" s="358"/>
      <c r="L17" s="359"/>
      <c r="N17" s="357" t="s">
        <v>510</v>
      </c>
      <c r="O17" s="358"/>
      <c r="P17" s="358"/>
      <c r="Q17" s="358"/>
      <c r="R17" s="359"/>
    </row>
    <row r="18" spans="2:18" ht="15" x14ac:dyDescent="0.25">
      <c r="B18" s="219" t="s">
        <v>511</v>
      </c>
      <c r="C18" s="223"/>
      <c r="D18" s="223"/>
      <c r="E18" s="224"/>
      <c r="F18" s="225">
        <f>(F4+F5+F6+F7+F8+F9+F10+F11+F12+F14+F15+F16)</f>
        <v>24170.2</v>
      </c>
      <c r="H18" s="219" t="s">
        <v>511</v>
      </c>
      <c r="I18" s="223"/>
      <c r="J18" s="223"/>
      <c r="K18" s="224"/>
      <c r="L18" s="225">
        <f>(L4+L5+L6+L7+L8+L9+L10+L11+L12+L14+L15+L16)</f>
        <v>18641.3</v>
      </c>
      <c r="N18" s="219" t="s">
        <v>511</v>
      </c>
      <c r="O18" s="223"/>
      <c r="P18" s="223"/>
      <c r="Q18" s="224"/>
      <c r="R18" s="225">
        <f>(R4+R5+R6+R7+R8+R9+R10+R11+R12+R14+R15+R16)</f>
        <v>4131.55</v>
      </c>
    </row>
    <row r="19" spans="2:18" ht="15" x14ac:dyDescent="0.25">
      <c r="B19" s="226" t="s">
        <v>17</v>
      </c>
      <c r="C19" s="223"/>
      <c r="D19" s="223"/>
      <c r="E19" s="224"/>
      <c r="F19" s="227">
        <f>F18*0.1</f>
        <v>2417.02</v>
      </c>
      <c r="H19" s="226" t="s">
        <v>17</v>
      </c>
      <c r="I19" s="223"/>
      <c r="J19" s="223"/>
      <c r="K19" s="224"/>
      <c r="L19" s="227">
        <f>L18*0.1</f>
        <v>1864.13</v>
      </c>
      <c r="N19" s="226" t="s">
        <v>17</v>
      </c>
      <c r="O19" s="223"/>
      <c r="P19" s="223"/>
      <c r="Q19" s="224"/>
      <c r="R19" s="227">
        <f>R18*0.1</f>
        <v>413.15500000000003</v>
      </c>
    </row>
    <row r="20" spans="2:18" ht="15" x14ac:dyDescent="0.25">
      <c r="B20" s="226" t="s">
        <v>18</v>
      </c>
      <c r="C20" s="223"/>
      <c r="D20" s="223"/>
      <c r="E20" s="224"/>
      <c r="F20" s="227">
        <f>SUM(F18:F19)</f>
        <v>26587.22</v>
      </c>
      <c r="H20" s="226" t="s">
        <v>18</v>
      </c>
      <c r="I20" s="223"/>
      <c r="J20" s="223"/>
      <c r="K20" s="224"/>
      <c r="L20" s="227">
        <f>SUM(L18:L19)</f>
        <v>20505.43</v>
      </c>
      <c r="N20" s="226" t="s">
        <v>18</v>
      </c>
      <c r="O20" s="223"/>
      <c r="P20" s="223"/>
      <c r="Q20" s="224"/>
      <c r="R20" s="227">
        <f>SUM(R18:R19)</f>
        <v>4544.7049999999999</v>
      </c>
    </row>
    <row r="21" spans="2:18" ht="15" x14ac:dyDescent="0.25">
      <c r="B21" s="219" t="s">
        <v>435</v>
      </c>
      <c r="C21" s="223"/>
      <c r="D21" s="223"/>
      <c r="E21" s="224"/>
      <c r="F21" s="225">
        <v>15900</v>
      </c>
      <c r="H21" s="219" t="s">
        <v>435</v>
      </c>
      <c r="I21" s="223"/>
      <c r="J21" s="223"/>
      <c r="K21" s="224"/>
      <c r="L21" s="225">
        <v>9900</v>
      </c>
      <c r="N21" s="219" t="s">
        <v>435</v>
      </c>
      <c r="O21" s="223"/>
      <c r="P21" s="223"/>
      <c r="Q21" s="224"/>
      <c r="R21" s="225">
        <v>30000</v>
      </c>
    </row>
    <row r="22" spans="2:18" ht="15.75" thickBot="1" x14ac:dyDescent="0.3">
      <c r="B22" s="228" t="s">
        <v>546</v>
      </c>
      <c r="C22" s="229"/>
      <c r="D22" s="229"/>
      <c r="E22" s="229">
        <v>6</v>
      </c>
      <c r="F22" s="230">
        <f>F20/E22</f>
        <v>4431.2033333333338</v>
      </c>
      <c r="H22" s="228" t="s">
        <v>546</v>
      </c>
      <c r="I22" s="229"/>
      <c r="J22" s="229"/>
      <c r="K22" s="229">
        <v>8</v>
      </c>
      <c r="L22" s="230">
        <f>L20/K22</f>
        <v>2563.17875</v>
      </c>
      <c r="N22" s="228"/>
      <c r="O22" s="229"/>
      <c r="P22" s="229"/>
      <c r="Q22" s="229"/>
      <c r="R22" s="230"/>
    </row>
  </sheetData>
  <mergeCells count="6">
    <mergeCell ref="B2:F2"/>
    <mergeCell ref="H2:L2"/>
    <mergeCell ref="N2:R2"/>
    <mergeCell ref="B17:F17"/>
    <mergeCell ref="H17:L17"/>
    <mergeCell ref="N17:R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509E-FAF4-4690-A268-8AF44F00E191}">
  <dimension ref="B1:R22"/>
  <sheetViews>
    <sheetView topLeftCell="E1" workbookViewId="0">
      <selection activeCell="B4" sqref="B4"/>
    </sheetView>
  </sheetViews>
  <sheetFormatPr baseColWidth="10" defaultRowHeight="12.75" x14ac:dyDescent="0.2"/>
  <cols>
    <col min="2" max="2" width="43.42578125" bestFit="1" customWidth="1"/>
    <col min="7" max="7" width="1.7109375" customWidth="1"/>
    <col min="8" max="8" width="43.42578125" bestFit="1" customWidth="1"/>
    <col min="13" max="13" width="1.7109375" customWidth="1"/>
    <col min="14" max="14" width="43.42578125" bestFit="1" customWidth="1"/>
  </cols>
  <sheetData>
    <row r="1" spans="2:18" ht="13.5" thickBot="1" x14ac:dyDescent="0.25"/>
    <row r="2" spans="2:18" ht="15" x14ac:dyDescent="0.25">
      <c r="B2" s="354" t="s">
        <v>527</v>
      </c>
      <c r="C2" s="355"/>
      <c r="D2" s="355"/>
      <c r="E2" s="355"/>
      <c r="F2" s="356"/>
      <c r="H2" s="354" t="s">
        <v>528</v>
      </c>
      <c r="I2" s="355"/>
      <c r="J2" s="355"/>
      <c r="K2" s="355"/>
      <c r="L2" s="356"/>
      <c r="N2" s="354" t="s">
        <v>530</v>
      </c>
      <c r="O2" s="355"/>
      <c r="P2" s="355"/>
      <c r="Q2" s="355"/>
      <c r="R2" s="356"/>
    </row>
    <row r="3" spans="2:18" ht="15.75" thickBot="1" x14ac:dyDescent="0.3">
      <c r="B3" s="197" t="s">
        <v>3</v>
      </c>
      <c r="C3" s="197" t="s">
        <v>507</v>
      </c>
      <c r="D3" s="197" t="s">
        <v>508</v>
      </c>
      <c r="E3" s="197" t="s">
        <v>513</v>
      </c>
      <c r="F3" s="256" t="s">
        <v>509</v>
      </c>
      <c r="H3" s="197" t="s">
        <v>3</v>
      </c>
      <c r="I3" s="197" t="s">
        <v>507</v>
      </c>
      <c r="J3" s="197" t="s">
        <v>508</v>
      </c>
      <c r="K3" s="197" t="s">
        <v>513</v>
      </c>
      <c r="L3" s="256" t="s">
        <v>509</v>
      </c>
      <c r="N3" s="197" t="s">
        <v>3</v>
      </c>
      <c r="O3" s="197" t="s">
        <v>507</v>
      </c>
      <c r="P3" s="197" t="s">
        <v>508</v>
      </c>
      <c r="Q3" s="197" t="s">
        <v>513</v>
      </c>
      <c r="R3" s="256" t="s">
        <v>509</v>
      </c>
    </row>
    <row r="4" spans="2:18" ht="15.75" x14ac:dyDescent="0.25">
      <c r="B4" s="257" t="s">
        <v>38</v>
      </c>
      <c r="C4" s="258">
        <v>50</v>
      </c>
      <c r="D4" s="259" t="s">
        <v>12</v>
      </c>
      <c r="E4" s="260">
        <v>26.9</v>
      </c>
      <c r="F4" s="261">
        <f>C4*E4</f>
        <v>1345</v>
      </c>
      <c r="H4" s="193" t="s">
        <v>44</v>
      </c>
      <c r="I4" s="108">
        <v>100</v>
      </c>
      <c r="J4" s="108" t="s">
        <v>12</v>
      </c>
      <c r="K4" s="253">
        <v>10.72</v>
      </c>
      <c r="L4" s="261">
        <f>I4*K4</f>
        <v>1072</v>
      </c>
      <c r="N4" s="193" t="s">
        <v>48</v>
      </c>
      <c r="O4" s="108">
        <v>50</v>
      </c>
      <c r="P4" s="108" t="s">
        <v>12</v>
      </c>
      <c r="Q4" s="253">
        <v>7.5</v>
      </c>
      <c r="R4" s="261">
        <f>O4*Q4</f>
        <v>375</v>
      </c>
    </row>
    <row r="5" spans="2:18" ht="15.75" x14ac:dyDescent="0.25">
      <c r="B5" s="262" t="s">
        <v>28</v>
      </c>
      <c r="C5" s="108">
        <v>30</v>
      </c>
      <c r="D5" s="254" t="s">
        <v>12</v>
      </c>
      <c r="E5" s="253">
        <v>13.15</v>
      </c>
      <c r="F5" s="203">
        <f t="shared" ref="F5:F12" si="0">C5*E5</f>
        <v>394.5</v>
      </c>
      <c r="H5" s="193" t="s">
        <v>45</v>
      </c>
      <c r="I5" s="108">
        <v>30</v>
      </c>
      <c r="J5" s="108" t="s">
        <v>12</v>
      </c>
      <c r="K5" s="253">
        <v>13.15</v>
      </c>
      <c r="L5" s="203">
        <f t="shared" ref="L5:L12" si="1">I5*K5</f>
        <v>394.5</v>
      </c>
      <c r="N5" s="193" t="s">
        <v>44</v>
      </c>
      <c r="O5" s="108">
        <v>30</v>
      </c>
      <c r="P5" s="108" t="s">
        <v>12</v>
      </c>
      <c r="Q5" s="253">
        <v>10.72</v>
      </c>
      <c r="R5" s="203">
        <f t="shared" ref="R5:R12" si="2">O5*Q5</f>
        <v>321.60000000000002</v>
      </c>
    </row>
    <row r="6" spans="2:18" ht="15.75" x14ac:dyDescent="0.25">
      <c r="B6" s="262" t="s">
        <v>39</v>
      </c>
      <c r="C6" s="108">
        <v>50</v>
      </c>
      <c r="D6" s="254" t="s">
        <v>12</v>
      </c>
      <c r="E6" s="253">
        <v>19</v>
      </c>
      <c r="F6" s="203">
        <f t="shared" si="0"/>
        <v>950</v>
      </c>
      <c r="H6" s="193" t="s">
        <v>46</v>
      </c>
      <c r="I6" s="108">
        <v>2</v>
      </c>
      <c r="J6" s="108" t="s">
        <v>12</v>
      </c>
      <c r="K6" s="253">
        <v>55</v>
      </c>
      <c r="L6" s="203">
        <f t="shared" si="1"/>
        <v>110</v>
      </c>
      <c r="N6" s="193" t="s">
        <v>49</v>
      </c>
      <c r="O6" s="108">
        <v>10</v>
      </c>
      <c r="P6" s="108" t="s">
        <v>12</v>
      </c>
      <c r="Q6" s="253">
        <v>5.98</v>
      </c>
      <c r="R6" s="203">
        <f t="shared" si="2"/>
        <v>59.800000000000004</v>
      </c>
    </row>
    <row r="7" spans="2:18" ht="15.75" x14ac:dyDescent="0.25">
      <c r="B7" s="262" t="s">
        <v>40</v>
      </c>
      <c r="C7" s="108">
        <v>2</v>
      </c>
      <c r="D7" s="254" t="s">
        <v>12</v>
      </c>
      <c r="E7" s="253">
        <v>2.5</v>
      </c>
      <c r="F7" s="203">
        <f t="shared" si="0"/>
        <v>5</v>
      </c>
      <c r="H7" s="193" t="s">
        <v>40</v>
      </c>
      <c r="I7" s="108">
        <v>2</v>
      </c>
      <c r="J7" s="108" t="s">
        <v>12</v>
      </c>
      <c r="K7" s="253">
        <v>2.5</v>
      </c>
      <c r="L7" s="203">
        <f t="shared" si="1"/>
        <v>5</v>
      </c>
      <c r="N7" s="193" t="s">
        <v>38</v>
      </c>
      <c r="O7" s="108">
        <v>50</v>
      </c>
      <c r="P7" s="108" t="s">
        <v>12</v>
      </c>
      <c r="Q7" s="269">
        <v>26.9</v>
      </c>
      <c r="R7" s="203">
        <f t="shared" si="2"/>
        <v>1345</v>
      </c>
    </row>
    <row r="8" spans="2:18" ht="15.75" x14ac:dyDescent="0.25">
      <c r="B8" s="262" t="s">
        <v>41</v>
      </c>
      <c r="C8" s="108">
        <v>1</v>
      </c>
      <c r="D8" s="254" t="s">
        <v>59</v>
      </c>
      <c r="E8" s="253">
        <v>58.17</v>
      </c>
      <c r="F8" s="203">
        <f t="shared" si="0"/>
        <v>58.17</v>
      </c>
      <c r="H8" s="193" t="s">
        <v>41</v>
      </c>
      <c r="I8" s="108">
        <v>1</v>
      </c>
      <c r="J8" s="108" t="s">
        <v>59</v>
      </c>
      <c r="K8" s="253">
        <v>58.17</v>
      </c>
      <c r="L8" s="203">
        <f t="shared" si="1"/>
        <v>58.17</v>
      </c>
      <c r="N8" s="193" t="s">
        <v>50</v>
      </c>
      <c r="O8" s="108">
        <v>1</v>
      </c>
      <c r="P8" s="108" t="s">
        <v>59</v>
      </c>
      <c r="Q8" s="253">
        <v>2.5499999999999998</v>
      </c>
      <c r="R8" s="203">
        <f t="shared" si="2"/>
        <v>2.5499999999999998</v>
      </c>
    </row>
    <row r="9" spans="2:18" ht="15.75" x14ac:dyDescent="0.25">
      <c r="B9" s="263" t="s">
        <v>42</v>
      </c>
      <c r="C9" s="108">
        <v>2</v>
      </c>
      <c r="D9" s="254" t="s">
        <v>59</v>
      </c>
      <c r="E9" s="253">
        <v>11</v>
      </c>
      <c r="F9" s="203">
        <f t="shared" si="0"/>
        <v>22</v>
      </c>
      <c r="H9" s="193" t="s">
        <v>526</v>
      </c>
      <c r="I9" s="108">
        <v>120</v>
      </c>
      <c r="J9" s="108" t="s">
        <v>59</v>
      </c>
      <c r="K9" s="253">
        <v>15.98</v>
      </c>
      <c r="L9" s="203">
        <f t="shared" si="1"/>
        <v>1917.6000000000001</v>
      </c>
      <c r="N9" s="193" t="s">
        <v>51</v>
      </c>
      <c r="O9" s="108">
        <v>2</v>
      </c>
      <c r="P9" s="108" t="s">
        <v>59</v>
      </c>
      <c r="Q9" s="253">
        <v>55</v>
      </c>
      <c r="R9" s="203">
        <f t="shared" si="2"/>
        <v>110</v>
      </c>
    </row>
    <row r="10" spans="2:18" ht="15.75" x14ac:dyDescent="0.25">
      <c r="B10" s="264" t="s">
        <v>526</v>
      </c>
      <c r="C10" s="108">
        <v>120</v>
      </c>
      <c r="D10" s="255" t="s">
        <v>12</v>
      </c>
      <c r="E10" s="253">
        <v>15.98</v>
      </c>
      <c r="F10" s="203">
        <f t="shared" si="0"/>
        <v>1917.6000000000001</v>
      </c>
      <c r="H10" s="193"/>
      <c r="I10" s="108"/>
      <c r="J10" s="268"/>
      <c r="K10" s="253"/>
      <c r="L10" s="203">
        <f t="shared" si="1"/>
        <v>0</v>
      </c>
      <c r="N10" s="193" t="s">
        <v>526</v>
      </c>
      <c r="O10" s="108">
        <v>120</v>
      </c>
      <c r="P10" s="270" t="s">
        <v>12</v>
      </c>
      <c r="Q10" s="253">
        <v>15.98</v>
      </c>
      <c r="R10" s="203">
        <f t="shared" si="2"/>
        <v>1917.6000000000001</v>
      </c>
    </row>
    <row r="11" spans="2:18" ht="15.75" x14ac:dyDescent="0.25">
      <c r="B11" s="265"/>
      <c r="C11" s="108"/>
      <c r="D11" s="255"/>
      <c r="E11" s="253"/>
      <c r="F11" s="203">
        <f t="shared" si="0"/>
        <v>0</v>
      </c>
      <c r="H11" s="265"/>
      <c r="I11" s="267"/>
      <c r="J11" s="268"/>
      <c r="K11" s="269"/>
      <c r="L11" s="203">
        <f t="shared" si="1"/>
        <v>0</v>
      </c>
      <c r="N11" s="265"/>
      <c r="O11" s="267"/>
      <c r="P11" s="268"/>
      <c r="Q11" s="269"/>
      <c r="R11" s="203">
        <f t="shared" si="2"/>
        <v>0</v>
      </c>
    </row>
    <row r="12" spans="2:18" ht="15.75" x14ac:dyDescent="0.25">
      <c r="B12" s="266"/>
      <c r="C12" s="108"/>
      <c r="D12" s="255"/>
      <c r="E12" s="253"/>
      <c r="F12" s="203">
        <f t="shared" si="0"/>
        <v>0</v>
      </c>
      <c r="H12" s="266"/>
      <c r="I12" s="108"/>
      <c r="J12" s="255"/>
      <c r="K12" s="253"/>
      <c r="L12" s="203">
        <f t="shared" si="1"/>
        <v>0</v>
      </c>
      <c r="N12" s="266"/>
      <c r="O12" s="108"/>
      <c r="P12" s="255"/>
      <c r="Q12" s="253"/>
      <c r="R12" s="203">
        <f t="shared" si="2"/>
        <v>0</v>
      </c>
    </row>
    <row r="13" spans="2:18" ht="15" x14ac:dyDescent="0.25">
      <c r="B13" s="216" t="s">
        <v>512</v>
      </c>
      <c r="C13" s="217"/>
      <c r="D13" s="217"/>
      <c r="E13" s="217"/>
      <c r="F13" s="218"/>
      <c r="H13" s="216" t="s">
        <v>512</v>
      </c>
      <c r="I13" s="217"/>
      <c r="J13" s="217"/>
      <c r="K13" s="217"/>
      <c r="L13" s="218"/>
      <c r="N13" s="216" t="s">
        <v>512</v>
      </c>
      <c r="O13" s="217"/>
      <c r="P13" s="217"/>
      <c r="Q13" s="217"/>
      <c r="R13" s="218"/>
    </row>
    <row r="14" spans="2:18" ht="15" x14ac:dyDescent="0.25">
      <c r="B14" s="219"/>
      <c r="C14" s="220"/>
      <c r="D14" s="221"/>
      <c r="E14" s="221"/>
      <c r="F14" s="222">
        <f>C14*140</f>
        <v>0</v>
      </c>
      <c r="H14" s="219"/>
      <c r="I14" s="220"/>
      <c r="J14" s="221"/>
      <c r="K14" s="221"/>
      <c r="L14" s="222">
        <f>I14*140</f>
        <v>0</v>
      </c>
      <c r="N14" s="219"/>
      <c r="O14" s="220"/>
      <c r="P14" s="221"/>
      <c r="Q14" s="221"/>
      <c r="R14" s="222">
        <f>O14*140</f>
        <v>0</v>
      </c>
    </row>
    <row r="15" spans="2:18" ht="15" x14ac:dyDescent="0.25">
      <c r="B15" s="219"/>
      <c r="C15" s="220"/>
      <c r="D15" s="221"/>
      <c r="E15" s="221"/>
      <c r="F15" s="222">
        <f t="shared" ref="F15:F16" si="3">C15*140</f>
        <v>0</v>
      </c>
      <c r="H15" s="219"/>
      <c r="I15" s="220"/>
      <c r="J15" s="221"/>
      <c r="K15" s="221"/>
      <c r="L15" s="222">
        <f t="shared" ref="L15:L16" si="4">I15*140</f>
        <v>0</v>
      </c>
      <c r="N15" s="219"/>
      <c r="O15" s="220"/>
      <c r="P15" s="221"/>
      <c r="Q15" s="221"/>
      <c r="R15" s="222">
        <f t="shared" ref="R15:R16" si="5">O15*140</f>
        <v>0</v>
      </c>
    </row>
    <row r="16" spans="2:18" ht="15" x14ac:dyDescent="0.25">
      <c r="B16" s="219"/>
      <c r="C16" s="220"/>
      <c r="D16" s="221"/>
      <c r="E16" s="221"/>
      <c r="F16" s="222">
        <f t="shared" si="3"/>
        <v>0</v>
      </c>
      <c r="H16" s="219"/>
      <c r="I16" s="220"/>
      <c r="J16" s="221"/>
      <c r="K16" s="221"/>
      <c r="L16" s="222">
        <f t="shared" si="4"/>
        <v>0</v>
      </c>
      <c r="N16" s="219"/>
      <c r="O16" s="220"/>
      <c r="P16" s="221"/>
      <c r="Q16" s="221"/>
      <c r="R16" s="222">
        <f t="shared" si="5"/>
        <v>0</v>
      </c>
    </row>
    <row r="17" spans="2:18" ht="15" x14ac:dyDescent="0.25">
      <c r="B17" s="357" t="s">
        <v>510</v>
      </c>
      <c r="C17" s="358"/>
      <c r="D17" s="358"/>
      <c r="E17" s="358"/>
      <c r="F17" s="359"/>
      <c r="H17" s="357" t="s">
        <v>510</v>
      </c>
      <c r="I17" s="358"/>
      <c r="J17" s="358"/>
      <c r="K17" s="358"/>
      <c r="L17" s="359"/>
      <c r="N17" s="357" t="s">
        <v>510</v>
      </c>
      <c r="O17" s="358"/>
      <c r="P17" s="358"/>
      <c r="Q17" s="358"/>
      <c r="R17" s="359"/>
    </row>
    <row r="18" spans="2:18" ht="15" x14ac:dyDescent="0.25">
      <c r="B18" s="219" t="s">
        <v>511</v>
      </c>
      <c r="C18" s="223"/>
      <c r="D18" s="223"/>
      <c r="E18" s="224"/>
      <c r="F18" s="225">
        <f>(F4+F5+F6+F7+F8+F9+F10+F11+F12+F14+F15+F16)</f>
        <v>4692.2700000000004</v>
      </c>
      <c r="H18" s="219" t="s">
        <v>511</v>
      </c>
      <c r="I18" s="223"/>
      <c r="J18" s="223"/>
      <c r="K18" s="224"/>
      <c r="L18" s="225">
        <f>(L4+L5+L6+L7+L8+L9+L10+L11+L12+L14+L15+L16)</f>
        <v>3557.2700000000004</v>
      </c>
      <c r="N18" s="219" t="s">
        <v>511</v>
      </c>
      <c r="O18" s="223"/>
      <c r="P18" s="223"/>
      <c r="Q18" s="224"/>
      <c r="R18" s="225">
        <f>(R4+R5+R6+R7+R8+R9+R10+R11+R12+R14+R15+R16)</f>
        <v>4131.55</v>
      </c>
    </row>
    <row r="19" spans="2:18" ht="15" x14ac:dyDescent="0.25">
      <c r="B19" s="226" t="s">
        <v>17</v>
      </c>
      <c r="C19" s="223"/>
      <c r="D19" s="223"/>
      <c r="E19" s="224"/>
      <c r="F19" s="227">
        <f>F18*0.1</f>
        <v>469.22700000000009</v>
      </c>
      <c r="H19" s="226" t="s">
        <v>17</v>
      </c>
      <c r="I19" s="223"/>
      <c r="J19" s="223"/>
      <c r="K19" s="224"/>
      <c r="L19" s="227">
        <f>L18*0.1</f>
        <v>355.72700000000009</v>
      </c>
      <c r="N19" s="226" t="s">
        <v>17</v>
      </c>
      <c r="O19" s="223"/>
      <c r="P19" s="223"/>
      <c r="Q19" s="224"/>
      <c r="R19" s="227">
        <f>R18*0.1</f>
        <v>413.15500000000003</v>
      </c>
    </row>
    <row r="20" spans="2:18" ht="15" x14ac:dyDescent="0.25">
      <c r="B20" s="226" t="s">
        <v>18</v>
      </c>
      <c r="C20" s="223"/>
      <c r="D20" s="223"/>
      <c r="E20" s="224"/>
      <c r="F20" s="227">
        <f>SUM(F18:F19)</f>
        <v>5161.4970000000003</v>
      </c>
      <c r="H20" s="226" t="s">
        <v>18</v>
      </c>
      <c r="I20" s="223"/>
      <c r="J20" s="223"/>
      <c r="K20" s="224"/>
      <c r="L20" s="227">
        <f>SUM(L18:L19)</f>
        <v>3912.9970000000003</v>
      </c>
      <c r="N20" s="226" t="s">
        <v>18</v>
      </c>
      <c r="O20" s="223"/>
      <c r="P20" s="223"/>
      <c r="Q20" s="224"/>
      <c r="R20" s="227">
        <f>SUM(R18:R19)</f>
        <v>4544.7049999999999</v>
      </c>
    </row>
    <row r="21" spans="2:18" ht="15" x14ac:dyDescent="0.25">
      <c r="B21" s="219" t="s">
        <v>435</v>
      </c>
      <c r="C21" s="223"/>
      <c r="D21" s="223"/>
      <c r="E21" s="224"/>
      <c r="F21" s="225">
        <v>30000</v>
      </c>
      <c r="H21" s="219" t="s">
        <v>435</v>
      </c>
      <c r="I21" s="223"/>
      <c r="J21" s="223"/>
      <c r="K21" s="224"/>
      <c r="L21" s="225">
        <v>28000</v>
      </c>
      <c r="N21" s="219" t="s">
        <v>435</v>
      </c>
      <c r="O21" s="223"/>
      <c r="P21" s="223"/>
      <c r="Q21" s="224"/>
      <c r="R21" s="225">
        <v>30000</v>
      </c>
    </row>
    <row r="22" spans="2:18" ht="15.75" thickBot="1" x14ac:dyDescent="0.3">
      <c r="B22" s="228"/>
      <c r="C22" s="229"/>
      <c r="D22" s="229"/>
      <c r="E22" s="229"/>
      <c r="F22" s="230"/>
      <c r="H22" s="228"/>
      <c r="I22" s="229"/>
      <c r="J22" s="229"/>
      <c r="K22" s="229"/>
      <c r="L22" s="230"/>
      <c r="N22" s="228"/>
      <c r="O22" s="229"/>
      <c r="P22" s="229"/>
      <c r="Q22" s="229"/>
      <c r="R22" s="230"/>
    </row>
  </sheetData>
  <mergeCells count="6">
    <mergeCell ref="H2:L2"/>
    <mergeCell ref="H17:L17"/>
    <mergeCell ref="N2:R2"/>
    <mergeCell ref="N17:R17"/>
    <mergeCell ref="B2:F2"/>
    <mergeCell ref="B17:F1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978"/>
  <sheetViews>
    <sheetView topLeftCell="A28" zoomScale="80" zoomScaleNormal="80" workbookViewId="0">
      <selection activeCell="A59" sqref="A59:F59"/>
    </sheetView>
  </sheetViews>
  <sheetFormatPr baseColWidth="10" defaultRowHeight="12.75" x14ac:dyDescent="0.2"/>
  <cols>
    <col min="1" max="1" width="20.7109375" customWidth="1"/>
    <col min="2" max="2" width="10" customWidth="1"/>
    <col min="3" max="3" width="7" customWidth="1"/>
    <col min="4" max="4" width="10.7109375" customWidth="1"/>
    <col min="5" max="5" width="12.85546875" customWidth="1"/>
    <col min="6" max="6" width="14.140625" customWidth="1"/>
    <col min="7" max="7" width="17" customWidth="1"/>
    <col min="8" max="8" width="20.7109375" customWidth="1"/>
    <col min="9" max="9" width="38.42578125" bestFit="1" customWidth="1"/>
    <col min="10" max="10" width="11.28515625" customWidth="1"/>
    <col min="11" max="11" width="13.7109375" customWidth="1"/>
    <col min="12" max="12" width="19" customWidth="1"/>
  </cols>
  <sheetData>
    <row r="1" spans="1:12" ht="15.75" x14ac:dyDescent="0.25">
      <c r="A1" s="366"/>
      <c r="B1" s="367"/>
      <c r="C1" s="367"/>
      <c r="D1" s="367"/>
      <c r="E1" s="367"/>
      <c r="F1" s="367"/>
      <c r="G1" s="367"/>
      <c r="H1" s="2"/>
      <c r="I1" s="2"/>
      <c r="J1" s="2"/>
      <c r="K1" s="2"/>
      <c r="L1" s="2"/>
    </row>
    <row r="2" spans="1:12" ht="15.75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</row>
    <row r="3" spans="1:12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x14ac:dyDescent="0.25">
      <c r="A4" s="366" t="s">
        <v>0</v>
      </c>
      <c r="B4" s="367"/>
      <c r="C4" s="367"/>
      <c r="D4" s="367"/>
      <c r="E4" s="367"/>
      <c r="F4" s="367"/>
      <c r="G4" s="367"/>
      <c r="H4" s="2"/>
      <c r="I4" s="2"/>
      <c r="J4" s="2"/>
      <c r="K4" s="2"/>
      <c r="L4" s="2"/>
    </row>
    <row r="5" spans="1:12" ht="15.75" x14ac:dyDescent="0.25">
      <c r="A5" s="1"/>
      <c r="B5" s="1"/>
      <c r="C5" s="1"/>
      <c r="D5" s="1"/>
      <c r="E5" s="1"/>
      <c r="F5" s="1"/>
      <c r="G5" s="3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2" ht="15.75" x14ac:dyDescent="0.25">
      <c r="A7" s="2" t="s">
        <v>1</v>
      </c>
      <c r="B7" s="368" t="s">
        <v>110</v>
      </c>
      <c r="C7" s="369"/>
      <c r="D7" s="369"/>
      <c r="E7" s="369"/>
      <c r="F7" s="369"/>
      <c r="G7" s="369"/>
      <c r="H7" s="2"/>
      <c r="I7" s="2"/>
      <c r="J7" s="2"/>
      <c r="K7" s="2"/>
      <c r="L7" s="2"/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6.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6.5" thickBot="1" x14ac:dyDescent="0.3">
      <c r="A10" s="4"/>
      <c r="B10" s="5"/>
      <c r="C10" s="6"/>
      <c r="D10" s="7"/>
      <c r="E10" s="7"/>
      <c r="F10" s="8" t="s">
        <v>2</v>
      </c>
      <c r="G10" s="9"/>
      <c r="H10" s="2"/>
      <c r="I10" s="370"/>
      <c r="J10" s="367"/>
      <c r="K10" s="367"/>
      <c r="L10" s="2"/>
    </row>
    <row r="11" spans="1:12" ht="16.5" thickBot="1" x14ac:dyDescent="0.3">
      <c r="A11" s="371" t="s">
        <v>3</v>
      </c>
      <c r="B11" s="367"/>
      <c r="C11" s="387"/>
      <c r="D11" s="10" t="s">
        <v>4</v>
      </c>
      <c r="E11" s="10" t="s">
        <v>5</v>
      </c>
      <c r="F11" s="373" t="s">
        <v>6</v>
      </c>
      <c r="G11" s="374"/>
      <c r="H11" s="2"/>
      <c r="I11" s="2"/>
      <c r="J11" s="2"/>
      <c r="K11" s="2"/>
      <c r="L11" s="2"/>
    </row>
    <row r="12" spans="1:12" ht="16.5" thickBot="1" x14ac:dyDescent="0.3">
      <c r="A12" s="11"/>
      <c r="B12" s="2"/>
      <c r="C12" s="12"/>
      <c r="D12" s="13"/>
      <c r="E12" s="13"/>
      <c r="F12" s="4" t="s">
        <v>7</v>
      </c>
      <c r="G12" s="14" t="s">
        <v>8</v>
      </c>
      <c r="H12" s="4" t="s">
        <v>9</v>
      </c>
      <c r="I12" s="4" t="s">
        <v>10</v>
      </c>
      <c r="J12" s="375" t="s">
        <v>11</v>
      </c>
      <c r="K12" s="376"/>
      <c r="L12" s="374"/>
    </row>
    <row r="13" spans="1:12" ht="15.75" x14ac:dyDescent="0.25">
      <c r="A13" s="386" t="s">
        <v>111</v>
      </c>
      <c r="B13" s="378"/>
      <c r="C13" s="392"/>
      <c r="D13" s="15">
        <v>300</v>
      </c>
      <c r="E13" s="16" t="s">
        <v>12</v>
      </c>
      <c r="F13" s="17">
        <v>1.5</v>
      </c>
      <c r="G13" s="18">
        <f>F13*D13</f>
        <v>450</v>
      </c>
      <c r="H13" s="19">
        <f>D13*L13</f>
        <v>300</v>
      </c>
      <c r="I13" s="20">
        <f t="shared" ref="I13:I23" si="0">F13*H13</f>
        <v>450</v>
      </c>
      <c r="J13" s="21" t="s">
        <v>13</v>
      </c>
      <c r="K13" s="22"/>
      <c r="L13" s="23">
        <v>1</v>
      </c>
    </row>
    <row r="14" spans="1:12" ht="15.75" x14ac:dyDescent="0.25">
      <c r="A14" s="363" t="s">
        <v>112</v>
      </c>
      <c r="B14" s="364"/>
      <c r="C14" s="393"/>
      <c r="D14" s="24">
        <v>30</v>
      </c>
      <c r="E14" s="25" t="s">
        <v>12</v>
      </c>
      <c r="F14" s="26">
        <v>3</v>
      </c>
      <c r="G14" s="27">
        <f t="shared" ref="G14:G23" si="1">D14*F14</f>
        <v>90</v>
      </c>
      <c r="H14" s="28">
        <f>D14*L13</f>
        <v>30</v>
      </c>
      <c r="I14" s="29">
        <f t="shared" si="0"/>
        <v>90</v>
      </c>
      <c r="J14" s="30" t="s">
        <v>14</v>
      </c>
      <c r="K14" s="31"/>
      <c r="L14" s="32">
        <f>SUM(I13:I22)</f>
        <v>24520.110000000004</v>
      </c>
    </row>
    <row r="15" spans="1:12" ht="15.75" x14ac:dyDescent="0.25">
      <c r="A15" s="363" t="s">
        <v>42</v>
      </c>
      <c r="B15" s="364"/>
      <c r="C15" s="393"/>
      <c r="D15" s="24">
        <v>30</v>
      </c>
      <c r="E15" s="25" t="s">
        <v>12</v>
      </c>
      <c r="F15" s="26">
        <v>11</v>
      </c>
      <c r="G15" s="27">
        <f t="shared" si="1"/>
        <v>330</v>
      </c>
      <c r="H15" s="28">
        <f>D15*L13</f>
        <v>30</v>
      </c>
      <c r="I15" s="29">
        <f t="shared" si="0"/>
        <v>330</v>
      </c>
      <c r="J15" s="380" t="s">
        <v>15</v>
      </c>
      <c r="K15" s="381"/>
      <c r="L15" s="34">
        <f>G29*L13</f>
        <v>0</v>
      </c>
    </row>
    <row r="16" spans="1:12" ht="15.75" x14ac:dyDescent="0.25">
      <c r="A16" s="363" t="s">
        <v>113</v>
      </c>
      <c r="B16" s="364"/>
      <c r="C16" s="393"/>
      <c r="D16" s="24">
        <v>200</v>
      </c>
      <c r="E16" s="25" t="s">
        <v>12</v>
      </c>
      <c r="F16" s="26">
        <v>5</v>
      </c>
      <c r="G16" s="27">
        <f t="shared" si="1"/>
        <v>1000</v>
      </c>
      <c r="H16" s="28">
        <f>D16*L13</f>
        <v>200</v>
      </c>
      <c r="I16" s="29">
        <f t="shared" si="0"/>
        <v>1000</v>
      </c>
      <c r="J16" s="2"/>
      <c r="K16" s="2"/>
      <c r="L16" s="2"/>
    </row>
    <row r="17" spans="1:12" ht="15.75" x14ac:dyDescent="0.25">
      <c r="A17" s="363" t="s">
        <v>188</v>
      </c>
      <c r="B17" s="364"/>
      <c r="C17" s="393"/>
      <c r="D17" s="24">
        <v>10</v>
      </c>
      <c r="E17" s="25" t="s">
        <v>12</v>
      </c>
      <c r="F17" s="26">
        <v>5</v>
      </c>
      <c r="G17" s="27">
        <f t="shared" si="1"/>
        <v>50</v>
      </c>
      <c r="H17" s="28">
        <f>D17*L13</f>
        <v>10</v>
      </c>
      <c r="I17" s="29">
        <f t="shared" si="0"/>
        <v>50</v>
      </c>
      <c r="J17" s="2"/>
      <c r="K17" s="2"/>
      <c r="L17" s="2"/>
    </row>
    <row r="18" spans="1:12" ht="15.75" x14ac:dyDescent="0.25">
      <c r="A18" s="363" t="s">
        <v>114</v>
      </c>
      <c r="B18" s="364"/>
      <c r="C18" s="393"/>
      <c r="D18" s="24">
        <v>65</v>
      </c>
      <c r="E18" s="25" t="s">
        <v>108</v>
      </c>
      <c r="F18" s="26">
        <v>2.85</v>
      </c>
      <c r="G18" s="27">
        <f t="shared" si="1"/>
        <v>185.25</v>
      </c>
      <c r="H18" s="28">
        <f>D18*L13</f>
        <v>65</v>
      </c>
      <c r="I18" s="29">
        <f t="shared" si="0"/>
        <v>185.25</v>
      </c>
      <c r="J18" s="2"/>
      <c r="K18" s="2"/>
      <c r="L18" s="2"/>
    </row>
    <row r="19" spans="1:12" ht="15.75" x14ac:dyDescent="0.25">
      <c r="A19" s="394" t="s">
        <v>189</v>
      </c>
      <c r="B19" s="364"/>
      <c r="C19" s="395"/>
      <c r="D19" s="35">
        <v>65</v>
      </c>
      <c r="E19" s="36" t="s">
        <v>108</v>
      </c>
      <c r="F19" s="37">
        <v>4.9000000000000004</v>
      </c>
      <c r="G19" s="27">
        <f t="shared" si="1"/>
        <v>318.5</v>
      </c>
      <c r="H19" s="28">
        <f>D19*L13</f>
        <v>65</v>
      </c>
      <c r="I19" s="29">
        <f t="shared" si="0"/>
        <v>318.5</v>
      </c>
      <c r="J19" s="2"/>
      <c r="K19" s="2"/>
      <c r="L19" s="2"/>
    </row>
    <row r="20" spans="1:12" ht="15.75" x14ac:dyDescent="0.25">
      <c r="A20" s="394" t="s">
        <v>190</v>
      </c>
      <c r="B20" s="364"/>
      <c r="C20" s="395"/>
      <c r="D20" s="35">
        <v>300</v>
      </c>
      <c r="E20" s="36" t="s">
        <v>108</v>
      </c>
      <c r="F20" s="37">
        <v>71.930000000000007</v>
      </c>
      <c r="G20" s="27">
        <f t="shared" si="1"/>
        <v>21579.000000000004</v>
      </c>
      <c r="H20" s="28">
        <f>D20*L13</f>
        <v>300</v>
      </c>
      <c r="I20" s="29">
        <f t="shared" si="0"/>
        <v>21579.000000000004</v>
      </c>
      <c r="J20" s="2"/>
      <c r="K20" s="2"/>
      <c r="L20" s="2"/>
    </row>
    <row r="21" spans="1:12" ht="15.75" x14ac:dyDescent="0.25">
      <c r="A21" s="390" t="s">
        <v>40</v>
      </c>
      <c r="B21" s="364"/>
      <c r="C21" s="391"/>
      <c r="D21" s="38">
        <v>20</v>
      </c>
      <c r="E21" s="36" t="s">
        <v>12</v>
      </c>
      <c r="F21" s="39">
        <v>2.6</v>
      </c>
      <c r="G21" s="27">
        <f t="shared" si="1"/>
        <v>52</v>
      </c>
      <c r="H21" s="28">
        <f>D21*L13</f>
        <v>20</v>
      </c>
      <c r="I21" s="29">
        <f t="shared" si="0"/>
        <v>52</v>
      </c>
      <c r="J21" s="2"/>
      <c r="K21" s="2"/>
      <c r="L21" s="2"/>
    </row>
    <row r="22" spans="1:12" ht="15.75" x14ac:dyDescent="0.25">
      <c r="A22" s="390" t="s">
        <v>41</v>
      </c>
      <c r="B22" s="364"/>
      <c r="C22" s="391"/>
      <c r="D22" s="40">
        <v>8</v>
      </c>
      <c r="E22" s="41" t="s">
        <v>12</v>
      </c>
      <c r="F22" s="42">
        <v>58.17</v>
      </c>
      <c r="G22" s="27">
        <f t="shared" si="1"/>
        <v>465.36</v>
      </c>
      <c r="H22" s="28">
        <f>D22*L13</f>
        <v>8</v>
      </c>
      <c r="I22" s="29">
        <f t="shared" si="0"/>
        <v>465.36</v>
      </c>
      <c r="J22" s="2"/>
      <c r="K22" s="2"/>
      <c r="L22" s="2"/>
    </row>
    <row r="23" spans="1:12" ht="16.5" thickBot="1" x14ac:dyDescent="0.3">
      <c r="A23" s="388"/>
      <c r="B23" s="364"/>
      <c r="C23" s="389"/>
      <c r="D23" s="40"/>
      <c r="E23" s="41"/>
      <c r="F23" s="42"/>
      <c r="G23" s="27">
        <f t="shared" si="1"/>
        <v>0</v>
      </c>
      <c r="H23" s="43">
        <f>D23*L13</f>
        <v>0</v>
      </c>
      <c r="I23" s="29">
        <f t="shared" si="0"/>
        <v>0</v>
      </c>
      <c r="J23" s="2"/>
      <c r="K23" s="2"/>
      <c r="L23" s="2"/>
    </row>
    <row r="24" spans="1:12" ht="15.75" x14ac:dyDescent="0.25">
      <c r="A24" s="50" t="s">
        <v>16</v>
      </c>
      <c r="B24" s="51"/>
      <c r="C24" s="51"/>
      <c r="D24" s="52"/>
      <c r="E24" s="52"/>
      <c r="F24" s="53"/>
      <c r="G24" s="20">
        <f>SUM(G13:G23)</f>
        <v>24520.110000000004</v>
      </c>
      <c r="H24" s="2"/>
      <c r="I24" s="2"/>
      <c r="J24" s="2"/>
      <c r="K24" s="2"/>
      <c r="L24" s="2"/>
    </row>
    <row r="25" spans="1:12" ht="15.75" x14ac:dyDescent="0.25">
      <c r="A25" s="54" t="s">
        <v>17</v>
      </c>
      <c r="B25" s="55"/>
      <c r="C25" s="55"/>
      <c r="D25" s="56"/>
      <c r="E25" s="56"/>
      <c r="F25" s="57"/>
      <c r="G25" s="29">
        <f>G24*0.1</f>
        <v>2452.0110000000004</v>
      </c>
      <c r="H25" s="2"/>
      <c r="I25" s="2"/>
      <c r="J25" s="2"/>
      <c r="K25" s="2"/>
      <c r="L25" s="2"/>
    </row>
    <row r="26" spans="1:12" ht="16.5" thickBot="1" x14ac:dyDescent="0.3">
      <c r="A26" s="54" t="s">
        <v>18</v>
      </c>
      <c r="B26" s="55"/>
      <c r="C26" s="55"/>
      <c r="D26" s="56"/>
      <c r="E26" s="56"/>
      <c r="F26" s="58"/>
      <c r="G26" s="29">
        <f>SUM(G24:G25)</f>
        <v>26972.121000000006</v>
      </c>
      <c r="H26" s="2"/>
      <c r="I26" s="2"/>
      <c r="J26" s="2"/>
      <c r="K26" s="2"/>
      <c r="L26" s="2"/>
    </row>
    <row r="27" spans="1:12" ht="15.75" x14ac:dyDescent="0.25">
      <c r="A27" s="59" t="s">
        <v>19</v>
      </c>
      <c r="B27" s="33"/>
      <c r="C27" s="33"/>
      <c r="D27" s="60"/>
      <c r="E27" s="60"/>
      <c r="F27" s="61">
        <v>17</v>
      </c>
      <c r="G27" s="27">
        <f>G26/F27</f>
        <v>1586.5953529411768</v>
      </c>
      <c r="H27" s="2"/>
      <c r="I27" s="2"/>
      <c r="J27" s="2"/>
      <c r="K27" s="2"/>
      <c r="L27" s="2"/>
    </row>
    <row r="28" spans="1:12" ht="15.75" x14ac:dyDescent="0.25">
      <c r="A28" s="382" t="s">
        <v>20</v>
      </c>
      <c r="B28" s="364"/>
      <c r="C28" s="364"/>
      <c r="D28" s="364"/>
      <c r="E28" s="364"/>
      <c r="F28" s="365"/>
      <c r="G28" s="62" t="e">
        <f>G27/G29</f>
        <v>#DIV/0!</v>
      </c>
      <c r="H28" s="2"/>
      <c r="I28" s="2"/>
      <c r="J28" s="2"/>
      <c r="K28" s="2"/>
      <c r="L28" s="2"/>
    </row>
    <row r="29" spans="1:12" ht="15.75" x14ac:dyDescent="0.25">
      <c r="A29" s="382" t="s">
        <v>21</v>
      </c>
      <c r="B29" s="364"/>
      <c r="C29" s="364"/>
      <c r="D29" s="364"/>
      <c r="E29" s="364"/>
      <c r="F29" s="365"/>
      <c r="G29" s="29"/>
      <c r="H29" s="2"/>
      <c r="I29" s="2"/>
      <c r="J29" s="2"/>
      <c r="K29" s="2"/>
      <c r="L29" s="2"/>
    </row>
    <row r="30" spans="1:12" ht="15.75" x14ac:dyDescent="0.25">
      <c r="A30" s="382" t="s">
        <v>22</v>
      </c>
      <c r="B30" s="364"/>
      <c r="C30" s="364"/>
      <c r="D30" s="364"/>
      <c r="E30" s="364"/>
      <c r="F30" s="365"/>
      <c r="G30" s="29">
        <f>G29*0.08</f>
        <v>0</v>
      </c>
      <c r="H30" s="2"/>
      <c r="I30" s="2"/>
      <c r="J30" s="2"/>
      <c r="K30" s="2"/>
      <c r="L30" s="2"/>
    </row>
    <row r="31" spans="1:12" ht="15.75" x14ac:dyDescent="0.25">
      <c r="A31" s="382" t="s">
        <v>23</v>
      </c>
      <c r="B31" s="364"/>
      <c r="C31" s="364"/>
      <c r="D31" s="364"/>
      <c r="E31" s="364"/>
      <c r="F31" s="365"/>
      <c r="G31" s="29">
        <f>G30+G29</f>
        <v>0</v>
      </c>
      <c r="H31" s="2"/>
      <c r="I31" s="2"/>
      <c r="J31" s="2"/>
      <c r="K31" s="2"/>
      <c r="L31" s="2"/>
    </row>
    <row r="32" spans="1:12" ht="15.75" x14ac:dyDescent="0.25">
      <c r="A32" s="382" t="s">
        <v>24</v>
      </c>
      <c r="B32" s="364"/>
      <c r="C32" s="364"/>
      <c r="D32" s="364"/>
      <c r="E32" s="364"/>
      <c r="F32" s="365"/>
      <c r="G32" s="29">
        <f>G31</f>
        <v>0</v>
      </c>
      <c r="H32" s="2"/>
      <c r="I32" s="2"/>
      <c r="J32" s="2"/>
      <c r="K32" s="2"/>
      <c r="L32" s="2"/>
    </row>
    <row r="33" spans="1:12" ht="16.5" thickBot="1" x14ac:dyDescent="0.3">
      <c r="A33" s="383" t="s">
        <v>25</v>
      </c>
      <c r="B33" s="384"/>
      <c r="C33" s="384"/>
      <c r="D33" s="384"/>
      <c r="E33" s="384"/>
      <c r="F33" s="385"/>
      <c r="G33" s="63" t="e">
        <f>(G27+G30)/G32</f>
        <v>#DIV/0!</v>
      </c>
      <c r="H33" s="2"/>
      <c r="I33" s="2"/>
      <c r="J33" s="2"/>
      <c r="K33" s="2"/>
      <c r="L33" s="2"/>
    </row>
    <row r="34" spans="1:12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x14ac:dyDescent="0.25">
      <c r="A36" s="366" t="s">
        <v>0</v>
      </c>
      <c r="B36" s="367"/>
      <c r="C36" s="367"/>
      <c r="D36" s="367"/>
      <c r="E36" s="367"/>
      <c r="F36" s="367"/>
      <c r="G36" s="367"/>
      <c r="H36" s="2"/>
      <c r="I36" s="2"/>
      <c r="J36" s="2"/>
      <c r="K36" s="2"/>
      <c r="L36" s="2"/>
    </row>
    <row r="37" spans="1:12" ht="15.75" x14ac:dyDescent="0.25">
      <c r="A37" s="1"/>
      <c r="B37" s="1"/>
      <c r="C37" s="1"/>
      <c r="D37" s="1"/>
      <c r="E37" s="1"/>
      <c r="F37" s="1"/>
      <c r="G37" s="3"/>
      <c r="H37" s="2"/>
      <c r="I37" s="2"/>
      <c r="J37" s="2"/>
      <c r="K37" s="2"/>
      <c r="L37" s="2"/>
    </row>
    <row r="38" spans="1:12" ht="15.75" x14ac:dyDescent="0.25">
      <c r="A38" s="1"/>
      <c r="B38" s="1"/>
      <c r="C38" s="1"/>
      <c r="D38" s="1"/>
      <c r="E38" s="1"/>
      <c r="F38" s="1"/>
      <c r="G38" s="2"/>
      <c r="H38" s="2"/>
      <c r="I38" s="2"/>
      <c r="J38" s="2"/>
      <c r="K38" s="2"/>
      <c r="L38" s="2"/>
    </row>
    <row r="39" spans="1:12" ht="15.75" x14ac:dyDescent="0.25">
      <c r="A39" s="2" t="s">
        <v>1</v>
      </c>
      <c r="B39" s="368" t="s">
        <v>83</v>
      </c>
      <c r="C39" s="369"/>
      <c r="D39" s="369"/>
      <c r="E39" s="369"/>
      <c r="F39" s="369"/>
      <c r="G39" s="369"/>
      <c r="H39" s="2"/>
      <c r="I39" s="2"/>
      <c r="J39" s="2"/>
      <c r="K39" s="2"/>
      <c r="L39" s="2"/>
    </row>
    <row r="40" spans="1:12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6.5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6.5" thickBot="1" x14ac:dyDescent="0.3">
      <c r="A42" s="4"/>
      <c r="B42" s="5"/>
      <c r="C42" s="6"/>
      <c r="D42" s="7"/>
      <c r="E42" s="7"/>
      <c r="F42" s="8" t="s">
        <v>2</v>
      </c>
      <c r="G42" s="9"/>
      <c r="H42" s="2"/>
      <c r="I42" s="370"/>
      <c r="J42" s="367"/>
      <c r="K42" s="367"/>
      <c r="L42" s="2"/>
    </row>
    <row r="43" spans="1:12" ht="16.5" thickBot="1" x14ac:dyDescent="0.3">
      <c r="A43" s="371" t="s">
        <v>3</v>
      </c>
      <c r="B43" s="367"/>
      <c r="C43" s="387"/>
      <c r="D43" s="10" t="s">
        <v>4</v>
      </c>
      <c r="E43" s="10" t="s">
        <v>5</v>
      </c>
      <c r="F43" s="373" t="s">
        <v>6</v>
      </c>
      <c r="G43" s="374"/>
      <c r="H43" s="2"/>
      <c r="I43" s="2"/>
      <c r="J43" s="2"/>
      <c r="K43" s="2"/>
      <c r="L43" s="2"/>
    </row>
    <row r="44" spans="1:12" ht="16.5" thickBot="1" x14ac:dyDescent="0.3">
      <c r="A44" s="11"/>
      <c r="B44" s="2"/>
      <c r="C44" s="12"/>
      <c r="D44" s="13"/>
      <c r="E44" s="13"/>
      <c r="F44" s="4" t="s">
        <v>7</v>
      </c>
      <c r="G44" s="14" t="s">
        <v>8</v>
      </c>
      <c r="H44" s="4" t="s">
        <v>9</v>
      </c>
      <c r="I44" s="4" t="s">
        <v>10</v>
      </c>
      <c r="J44" s="375" t="s">
        <v>11</v>
      </c>
      <c r="K44" s="376"/>
      <c r="L44" s="374"/>
    </row>
    <row r="45" spans="1:12" ht="15.75" x14ac:dyDescent="0.25">
      <c r="A45" s="386" t="s">
        <v>82</v>
      </c>
      <c r="B45" s="378"/>
      <c r="C45" s="392"/>
      <c r="D45" s="15">
        <v>10</v>
      </c>
      <c r="E45" s="16" t="s">
        <v>12</v>
      </c>
      <c r="F45" s="73" t="s">
        <v>153</v>
      </c>
      <c r="G45" s="18">
        <v>261</v>
      </c>
      <c r="H45" s="19">
        <f>D45*L45</f>
        <v>10</v>
      </c>
      <c r="I45" s="20">
        <v>261</v>
      </c>
      <c r="J45" s="21" t="s">
        <v>13</v>
      </c>
      <c r="K45" s="22"/>
      <c r="L45" s="23">
        <v>1</v>
      </c>
    </row>
    <row r="46" spans="1:12" ht="15.75" x14ac:dyDescent="0.25">
      <c r="A46" s="363" t="s">
        <v>32</v>
      </c>
      <c r="B46" s="364"/>
      <c r="C46" s="393"/>
      <c r="D46" s="24">
        <v>10</v>
      </c>
      <c r="E46" s="25" t="s">
        <v>12</v>
      </c>
      <c r="F46" s="72" t="s">
        <v>150</v>
      </c>
      <c r="G46" s="70" t="s">
        <v>154</v>
      </c>
      <c r="H46" s="28">
        <f>D46*L45</f>
        <v>10</v>
      </c>
      <c r="I46" s="71" t="s">
        <v>158</v>
      </c>
      <c r="J46" s="30" t="s">
        <v>14</v>
      </c>
      <c r="K46" s="31"/>
      <c r="L46" s="32">
        <f>SUM(I45:I52)</f>
        <v>2770.2</v>
      </c>
    </row>
    <row r="47" spans="1:12" ht="15.75" x14ac:dyDescent="0.25">
      <c r="A47" s="363" t="s">
        <v>84</v>
      </c>
      <c r="B47" s="364"/>
      <c r="C47" s="393"/>
      <c r="D47" s="24">
        <v>100</v>
      </c>
      <c r="E47" s="25" t="s">
        <v>12</v>
      </c>
      <c r="F47" s="72" t="s">
        <v>151</v>
      </c>
      <c r="G47" s="27">
        <v>373</v>
      </c>
      <c r="H47" s="28">
        <f>D47*L45</f>
        <v>100</v>
      </c>
      <c r="I47" s="29">
        <v>373</v>
      </c>
      <c r="J47" s="380" t="s">
        <v>15</v>
      </c>
      <c r="K47" s="381"/>
      <c r="L47" s="34">
        <f>G58*L45</f>
        <v>12000</v>
      </c>
    </row>
    <row r="48" spans="1:12" ht="15.75" x14ac:dyDescent="0.25">
      <c r="A48" s="363" t="s">
        <v>85</v>
      </c>
      <c r="B48" s="364"/>
      <c r="C48" s="363"/>
      <c r="D48" s="24">
        <v>0.12</v>
      </c>
      <c r="E48" s="25" t="s">
        <v>12</v>
      </c>
      <c r="F48" s="26">
        <v>410</v>
      </c>
      <c r="G48" s="70" t="s">
        <v>155</v>
      </c>
      <c r="H48" s="28">
        <f>D48*L45</f>
        <v>0.12</v>
      </c>
      <c r="I48" s="29">
        <f t="shared" ref="I48:I52" si="2">F48*H48</f>
        <v>49.199999999999996</v>
      </c>
      <c r="J48" s="2"/>
      <c r="K48" s="2"/>
      <c r="L48" s="2"/>
    </row>
    <row r="49" spans="1:12" ht="15.75" x14ac:dyDescent="0.25">
      <c r="A49" s="363" t="s">
        <v>40</v>
      </c>
      <c r="B49" s="364"/>
      <c r="C49" s="363"/>
      <c r="D49" s="24">
        <v>1</v>
      </c>
      <c r="E49" s="25" t="s">
        <v>12</v>
      </c>
      <c r="F49" s="72" t="s">
        <v>133</v>
      </c>
      <c r="G49" s="70" t="s">
        <v>156</v>
      </c>
      <c r="H49" s="28">
        <f>D49*L45</f>
        <v>1</v>
      </c>
      <c r="I49" s="71" t="s">
        <v>159</v>
      </c>
      <c r="J49" s="2"/>
      <c r="K49" s="2"/>
      <c r="L49" s="2"/>
    </row>
    <row r="50" spans="1:12" ht="15.75" x14ac:dyDescent="0.25">
      <c r="A50" s="363" t="s">
        <v>41</v>
      </c>
      <c r="B50" s="364"/>
      <c r="C50" s="363"/>
      <c r="D50" s="24">
        <v>1</v>
      </c>
      <c r="E50" s="25" t="s">
        <v>12</v>
      </c>
      <c r="F50" s="72" t="s">
        <v>134</v>
      </c>
      <c r="G50" s="70" t="s">
        <v>157</v>
      </c>
      <c r="H50" s="28">
        <f>D50*L45</f>
        <v>1</v>
      </c>
      <c r="I50" s="71" t="s">
        <v>160</v>
      </c>
      <c r="J50" s="2"/>
      <c r="K50" s="2"/>
      <c r="L50" s="2"/>
    </row>
    <row r="51" spans="1:12" ht="15.75" x14ac:dyDescent="0.25">
      <c r="A51" s="394" t="s">
        <v>28</v>
      </c>
      <c r="B51" s="364"/>
      <c r="C51" s="394"/>
      <c r="D51" s="35">
        <v>25</v>
      </c>
      <c r="E51" s="36" t="s">
        <v>12</v>
      </c>
      <c r="F51" s="74" t="s">
        <v>152</v>
      </c>
      <c r="G51" s="27">
        <v>2087</v>
      </c>
      <c r="H51" s="28">
        <f>D51*L45</f>
        <v>25</v>
      </c>
      <c r="I51" s="29">
        <v>2087</v>
      </c>
      <c r="J51" s="2"/>
      <c r="K51" s="2"/>
      <c r="L51" s="2"/>
    </row>
    <row r="52" spans="1:12" ht="16.5" thickBot="1" x14ac:dyDescent="0.3">
      <c r="A52" s="397"/>
      <c r="B52" s="364"/>
      <c r="C52" s="397"/>
      <c r="D52" s="35"/>
      <c r="E52" s="36"/>
      <c r="F52" s="37"/>
      <c r="G52" s="27">
        <f t="shared" ref="G52" si="3">D52*F52</f>
        <v>0</v>
      </c>
      <c r="H52" s="28">
        <f>D52*L45</f>
        <v>0</v>
      </c>
      <c r="I52" s="29">
        <f t="shared" si="2"/>
        <v>0</v>
      </c>
      <c r="J52" s="2"/>
      <c r="K52" s="2"/>
      <c r="L52" s="2"/>
    </row>
    <row r="53" spans="1:12" ht="15.75" x14ac:dyDescent="0.25">
      <c r="A53" s="50" t="s">
        <v>16</v>
      </c>
      <c r="B53" s="51"/>
      <c r="C53" s="51"/>
      <c r="D53" s="52"/>
      <c r="E53" s="52"/>
      <c r="F53" s="53"/>
      <c r="G53" s="20">
        <f>SUM(G45:G52)</f>
        <v>2721</v>
      </c>
      <c r="H53" s="2"/>
      <c r="I53" s="2"/>
      <c r="J53" s="2"/>
      <c r="K53" s="2"/>
      <c r="L53" s="2"/>
    </row>
    <row r="54" spans="1:12" ht="15.75" x14ac:dyDescent="0.25">
      <c r="A54" s="54" t="s">
        <v>17</v>
      </c>
      <c r="B54" s="55"/>
      <c r="C54" s="55"/>
      <c r="D54" s="56"/>
      <c r="E54" s="56"/>
      <c r="F54" s="57"/>
      <c r="G54" s="29">
        <f>G53*0.1</f>
        <v>272.10000000000002</v>
      </c>
      <c r="H54" s="2"/>
      <c r="I54" s="2"/>
      <c r="J54" s="2"/>
      <c r="K54" s="2"/>
      <c r="L54" s="2"/>
    </row>
    <row r="55" spans="1:12" ht="16.5" thickBot="1" x14ac:dyDescent="0.3">
      <c r="A55" s="54" t="s">
        <v>18</v>
      </c>
      <c r="B55" s="55"/>
      <c r="C55" s="55"/>
      <c r="D55" s="56"/>
      <c r="E55" s="56"/>
      <c r="F55" s="58"/>
      <c r="G55" s="29">
        <f>SUM(G53:G54)</f>
        <v>2993.1</v>
      </c>
      <c r="H55" s="2"/>
      <c r="I55" s="2"/>
      <c r="J55" s="2"/>
      <c r="K55" s="2"/>
      <c r="L55" s="2"/>
    </row>
    <row r="56" spans="1:12" ht="15.75" x14ac:dyDescent="0.25">
      <c r="A56" s="59" t="s">
        <v>19</v>
      </c>
      <c r="B56" s="33"/>
      <c r="C56" s="33"/>
      <c r="D56" s="60"/>
      <c r="E56" s="60"/>
      <c r="F56" s="61">
        <v>1</v>
      </c>
      <c r="G56" s="27">
        <f>G55/F56</f>
        <v>2993.1</v>
      </c>
      <c r="H56" s="2"/>
      <c r="I56" s="2"/>
      <c r="J56" s="2"/>
      <c r="K56" s="2"/>
      <c r="L56" s="2"/>
    </row>
    <row r="57" spans="1:12" ht="15.75" x14ac:dyDescent="0.25">
      <c r="A57" s="382" t="s">
        <v>20</v>
      </c>
      <c r="B57" s="364"/>
      <c r="C57" s="364"/>
      <c r="D57" s="364"/>
      <c r="E57" s="364"/>
      <c r="F57" s="365"/>
      <c r="G57" s="62">
        <f>G56/G58</f>
        <v>0.24942499999999998</v>
      </c>
      <c r="H57" s="2"/>
      <c r="I57" s="2"/>
      <c r="J57" s="2"/>
      <c r="K57" s="2"/>
      <c r="L57" s="2"/>
    </row>
    <row r="58" spans="1:12" ht="15.75" x14ac:dyDescent="0.25">
      <c r="A58" s="382" t="s">
        <v>21</v>
      </c>
      <c r="B58" s="364"/>
      <c r="C58" s="364"/>
      <c r="D58" s="364"/>
      <c r="E58" s="364"/>
      <c r="F58" s="365"/>
      <c r="G58" s="29">
        <v>12000</v>
      </c>
      <c r="H58" s="2"/>
      <c r="I58" s="2"/>
      <c r="J58" s="2"/>
      <c r="K58" s="2"/>
      <c r="L58" s="2"/>
    </row>
    <row r="59" spans="1:12" ht="15.75" x14ac:dyDescent="0.25">
      <c r="A59" s="382" t="s">
        <v>22</v>
      </c>
      <c r="B59" s="364"/>
      <c r="C59" s="364"/>
      <c r="D59" s="364"/>
      <c r="E59" s="364"/>
      <c r="F59" s="365"/>
      <c r="G59" s="29">
        <f>G58*0.08</f>
        <v>960</v>
      </c>
      <c r="H59" s="2"/>
      <c r="I59" s="2"/>
      <c r="J59" s="2"/>
      <c r="K59" s="2"/>
      <c r="L59" s="2"/>
    </row>
    <row r="60" spans="1:12" ht="15.75" x14ac:dyDescent="0.25">
      <c r="A60" s="382" t="s">
        <v>23</v>
      </c>
      <c r="B60" s="364"/>
      <c r="C60" s="364"/>
      <c r="D60" s="364"/>
      <c r="E60" s="364"/>
      <c r="F60" s="365"/>
      <c r="G60" s="29">
        <f>G59+G58</f>
        <v>12960</v>
      </c>
      <c r="H60" s="2"/>
      <c r="I60" s="2"/>
      <c r="J60" s="2"/>
      <c r="K60" s="2"/>
      <c r="L60" s="2"/>
    </row>
    <row r="61" spans="1:12" ht="15.75" x14ac:dyDescent="0.25">
      <c r="A61" s="382" t="s">
        <v>24</v>
      </c>
      <c r="B61" s="364"/>
      <c r="C61" s="364"/>
      <c r="D61" s="364"/>
      <c r="E61" s="364"/>
      <c r="F61" s="365"/>
      <c r="G61" s="29">
        <f>G60</f>
        <v>12960</v>
      </c>
      <c r="H61" s="2"/>
      <c r="I61" s="2"/>
      <c r="J61" s="2"/>
      <c r="K61" s="2"/>
      <c r="L61" s="2"/>
    </row>
    <row r="62" spans="1:12" ht="16.5" thickBot="1" x14ac:dyDescent="0.3">
      <c r="A62" s="383" t="s">
        <v>25</v>
      </c>
      <c r="B62" s="384"/>
      <c r="C62" s="384"/>
      <c r="D62" s="384"/>
      <c r="E62" s="384"/>
      <c r="F62" s="385"/>
      <c r="G62" s="63">
        <f>(G56+G59)/G61</f>
        <v>0.30502314814814813</v>
      </c>
      <c r="H62" s="2"/>
      <c r="I62" s="2"/>
      <c r="J62" s="2"/>
      <c r="K62" s="2"/>
      <c r="L62" s="2"/>
    </row>
    <row r="63" spans="1:12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x14ac:dyDescent="0.25">
      <c r="A64" s="366" t="s">
        <v>0</v>
      </c>
      <c r="B64" s="367"/>
      <c r="C64" s="367"/>
      <c r="D64" s="367"/>
      <c r="E64" s="367"/>
      <c r="F64" s="367"/>
      <c r="G64" s="367"/>
      <c r="H64" s="2"/>
      <c r="I64" s="2"/>
      <c r="J64" s="2"/>
      <c r="K64" s="2"/>
      <c r="L64" s="2"/>
    </row>
    <row r="65" spans="1:12" ht="15.75" x14ac:dyDescent="0.25">
      <c r="A65" s="1"/>
      <c r="B65" s="1"/>
      <c r="C65" s="1"/>
      <c r="D65" s="1"/>
      <c r="E65" s="1"/>
      <c r="F65" s="1"/>
      <c r="G65" s="3"/>
      <c r="H65" s="2"/>
      <c r="I65" s="2"/>
      <c r="J65" s="2"/>
      <c r="K65" s="2"/>
      <c r="L65" s="2"/>
    </row>
    <row r="66" spans="1:12" ht="15.75" x14ac:dyDescent="0.25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</row>
    <row r="67" spans="1:12" ht="15.75" x14ac:dyDescent="0.25">
      <c r="A67" s="2" t="s">
        <v>1</v>
      </c>
      <c r="B67" s="368" t="s">
        <v>71</v>
      </c>
      <c r="C67" s="369"/>
      <c r="D67" s="369"/>
      <c r="E67" s="369"/>
      <c r="F67" s="369"/>
      <c r="G67" s="369"/>
      <c r="H67" s="2"/>
      <c r="I67" s="2"/>
      <c r="J67" s="2"/>
      <c r="K67" s="2"/>
      <c r="L67" s="2"/>
    </row>
    <row r="68" spans="1:12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6.5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6.5" thickBot="1" x14ac:dyDescent="0.3">
      <c r="A70" s="4"/>
      <c r="B70" s="5"/>
      <c r="C70" s="6"/>
      <c r="D70" s="7"/>
      <c r="E70" s="7"/>
      <c r="F70" s="8" t="s">
        <v>2</v>
      </c>
      <c r="G70" s="9"/>
      <c r="H70" s="2"/>
      <c r="I70" s="370"/>
      <c r="J70" s="367"/>
      <c r="K70" s="367"/>
      <c r="L70" s="2"/>
    </row>
    <row r="71" spans="1:12" ht="16.5" thickBot="1" x14ac:dyDescent="0.3">
      <c r="A71" s="371" t="s">
        <v>3</v>
      </c>
      <c r="B71" s="367"/>
      <c r="C71" s="387"/>
      <c r="D71" s="10" t="s">
        <v>4</v>
      </c>
      <c r="E71" s="10" t="s">
        <v>5</v>
      </c>
      <c r="F71" s="373" t="s">
        <v>6</v>
      </c>
      <c r="G71" s="374"/>
      <c r="H71" s="2"/>
      <c r="I71" s="2"/>
      <c r="J71" s="2"/>
      <c r="K71" s="2"/>
      <c r="L71" s="2"/>
    </row>
    <row r="72" spans="1:12" ht="16.5" thickBot="1" x14ac:dyDescent="0.3">
      <c r="A72" s="11"/>
      <c r="B72" s="2"/>
      <c r="C72" s="12"/>
      <c r="D72" s="13"/>
      <c r="E72" s="13"/>
      <c r="F72" s="4" t="s">
        <v>7</v>
      </c>
      <c r="G72" s="14" t="s">
        <v>8</v>
      </c>
      <c r="H72" s="4" t="s">
        <v>9</v>
      </c>
      <c r="I72" s="4" t="s">
        <v>10</v>
      </c>
      <c r="J72" s="375" t="s">
        <v>11</v>
      </c>
      <c r="K72" s="376"/>
      <c r="L72" s="374"/>
    </row>
    <row r="73" spans="1:12" ht="15.75" x14ac:dyDescent="0.25">
      <c r="A73" s="386" t="s">
        <v>73</v>
      </c>
      <c r="B73" s="378"/>
      <c r="C73" s="392"/>
      <c r="D73" s="15">
        <v>40</v>
      </c>
      <c r="E73" s="16" t="s">
        <v>12</v>
      </c>
      <c r="F73" s="73" t="s">
        <v>142</v>
      </c>
      <c r="G73" s="27">
        <v>102</v>
      </c>
      <c r="H73" s="19">
        <f>D73*L73</f>
        <v>40</v>
      </c>
      <c r="I73" s="20">
        <v>102</v>
      </c>
      <c r="J73" s="21" t="s">
        <v>13</v>
      </c>
      <c r="K73" s="22"/>
      <c r="L73" s="23">
        <v>1</v>
      </c>
    </row>
    <row r="74" spans="1:12" ht="15.75" x14ac:dyDescent="0.25">
      <c r="A74" s="363" t="s">
        <v>39</v>
      </c>
      <c r="B74" s="364"/>
      <c r="C74" s="393"/>
      <c r="D74" s="24">
        <v>50</v>
      </c>
      <c r="E74" s="25" t="s">
        <v>12</v>
      </c>
      <c r="F74" s="72" t="s">
        <v>143</v>
      </c>
      <c r="G74" s="70">
        <v>1177</v>
      </c>
      <c r="H74" s="28">
        <f>D74*L73</f>
        <v>50</v>
      </c>
      <c r="I74" s="29">
        <v>1177</v>
      </c>
      <c r="J74" s="30" t="s">
        <v>14</v>
      </c>
      <c r="K74" s="31"/>
      <c r="L74" s="32">
        <f>SUM(I73:I79)</f>
        <v>4501.6000000000004</v>
      </c>
    </row>
    <row r="75" spans="1:12" ht="15.75" x14ac:dyDescent="0.25">
      <c r="A75" s="363" t="s">
        <v>74</v>
      </c>
      <c r="B75" s="364"/>
      <c r="C75" s="393"/>
      <c r="D75" s="24">
        <v>50</v>
      </c>
      <c r="E75" s="25" t="s">
        <v>12</v>
      </c>
      <c r="F75" s="72" t="s">
        <v>144</v>
      </c>
      <c r="G75" s="27">
        <v>1250</v>
      </c>
      <c r="H75" s="28">
        <f>D75*L73</f>
        <v>50</v>
      </c>
      <c r="I75" s="29">
        <v>1250</v>
      </c>
      <c r="J75" s="380" t="s">
        <v>15</v>
      </c>
      <c r="K75" s="381"/>
      <c r="L75" s="34">
        <f>G85*L73</f>
        <v>12000</v>
      </c>
    </row>
    <row r="76" spans="1:12" ht="15.75" x14ac:dyDescent="0.25">
      <c r="A76" s="363" t="s">
        <v>40</v>
      </c>
      <c r="B76" s="364"/>
      <c r="C76" s="363"/>
      <c r="D76" s="24">
        <v>2</v>
      </c>
      <c r="E76" s="25" t="s">
        <v>12</v>
      </c>
      <c r="F76" s="72" t="s">
        <v>133</v>
      </c>
      <c r="G76" s="70" t="s">
        <v>145</v>
      </c>
      <c r="H76" s="28">
        <f>D76*L73</f>
        <v>2</v>
      </c>
      <c r="I76" s="71" t="s">
        <v>148</v>
      </c>
      <c r="J76" s="2"/>
      <c r="K76" s="2"/>
      <c r="L76" s="2"/>
    </row>
    <row r="77" spans="1:12" ht="15.75" x14ac:dyDescent="0.25">
      <c r="A77" s="363" t="s">
        <v>41</v>
      </c>
      <c r="B77" s="364"/>
      <c r="C77" s="363"/>
      <c r="D77" s="24">
        <v>1</v>
      </c>
      <c r="E77" s="25" t="s">
        <v>12</v>
      </c>
      <c r="F77" s="72" t="s">
        <v>134</v>
      </c>
      <c r="G77" s="70" t="s">
        <v>146</v>
      </c>
      <c r="H77" s="28">
        <f>D77*L73</f>
        <v>1</v>
      </c>
      <c r="I77" s="71" t="s">
        <v>147</v>
      </c>
      <c r="J77" s="2"/>
      <c r="K77" s="2"/>
      <c r="L77" s="2"/>
    </row>
    <row r="78" spans="1:12" ht="15.75" x14ac:dyDescent="0.25">
      <c r="A78" s="363" t="s">
        <v>42</v>
      </c>
      <c r="B78" s="364"/>
      <c r="C78" s="363"/>
      <c r="D78" s="24">
        <v>5</v>
      </c>
      <c r="E78" s="25" t="s">
        <v>12</v>
      </c>
      <c r="F78" s="72" t="s">
        <v>135</v>
      </c>
      <c r="G78" s="27">
        <v>55</v>
      </c>
      <c r="H78" s="28">
        <f>D78*L73</f>
        <v>5</v>
      </c>
      <c r="I78" s="29">
        <v>55</v>
      </c>
      <c r="J78" s="2"/>
      <c r="K78" s="2"/>
      <c r="L78" s="2"/>
    </row>
    <row r="79" spans="1:12" ht="16.5" thickBot="1" x14ac:dyDescent="0.3">
      <c r="A79" s="396" t="s">
        <v>526</v>
      </c>
      <c r="B79" s="364"/>
      <c r="C79" s="396"/>
      <c r="D79" s="24">
        <v>120</v>
      </c>
      <c r="E79" s="25" t="s">
        <v>12</v>
      </c>
      <c r="F79" s="37">
        <v>15.98</v>
      </c>
      <c r="G79" s="27">
        <f t="shared" ref="G79" si="4">D79*F79</f>
        <v>1917.6000000000001</v>
      </c>
      <c r="H79" s="28">
        <f>D79*L73</f>
        <v>120</v>
      </c>
      <c r="I79" s="29">
        <f t="shared" ref="I79" si="5">F79*H79</f>
        <v>1917.6000000000001</v>
      </c>
      <c r="J79" s="2"/>
      <c r="K79" s="2"/>
      <c r="L79" s="2"/>
    </row>
    <row r="80" spans="1:12" ht="15.75" x14ac:dyDescent="0.25">
      <c r="A80" s="50" t="s">
        <v>16</v>
      </c>
      <c r="B80" s="51"/>
      <c r="C80" s="51"/>
      <c r="D80" s="52"/>
      <c r="E80" s="52"/>
      <c r="F80" s="53"/>
      <c r="G80" s="20">
        <f>SUM(G73:G79)</f>
        <v>4501.6000000000004</v>
      </c>
      <c r="H80" s="2"/>
      <c r="I80" s="2"/>
      <c r="J80" s="2"/>
      <c r="K80" s="2"/>
      <c r="L80" s="2"/>
    </row>
    <row r="81" spans="1:12" ht="15.75" x14ac:dyDescent="0.25">
      <c r="A81" s="54" t="s">
        <v>17</v>
      </c>
      <c r="B81" s="55"/>
      <c r="C81" s="55"/>
      <c r="D81" s="56"/>
      <c r="E81" s="56"/>
      <c r="F81" s="57"/>
      <c r="G81" s="29">
        <f>G80*0.1</f>
        <v>450.16000000000008</v>
      </c>
      <c r="H81" s="2"/>
      <c r="I81" s="2"/>
      <c r="J81" s="2"/>
      <c r="K81" s="2"/>
      <c r="L81" s="2"/>
    </row>
    <row r="82" spans="1:12" ht="16.5" thickBot="1" x14ac:dyDescent="0.3">
      <c r="A82" s="54" t="s">
        <v>18</v>
      </c>
      <c r="B82" s="55"/>
      <c r="C82" s="55"/>
      <c r="D82" s="56"/>
      <c r="E82" s="56"/>
      <c r="F82" s="58"/>
      <c r="G82" s="29">
        <f>SUM(G80:G81)</f>
        <v>4951.76</v>
      </c>
      <c r="H82" s="2"/>
      <c r="I82" s="2"/>
      <c r="J82" s="2"/>
      <c r="K82" s="2"/>
      <c r="L82" s="2"/>
    </row>
    <row r="83" spans="1:12" ht="15.75" x14ac:dyDescent="0.25">
      <c r="A83" s="59" t="s">
        <v>19</v>
      </c>
      <c r="B83" s="33"/>
      <c r="C83" s="33"/>
      <c r="D83" s="60"/>
      <c r="E83" s="60"/>
      <c r="F83" s="61">
        <v>1</v>
      </c>
      <c r="G83" s="27">
        <f>G82/F83</f>
        <v>4951.76</v>
      </c>
      <c r="H83" s="2"/>
      <c r="I83" s="2"/>
      <c r="J83" s="2"/>
      <c r="K83" s="2">
        <v>7990</v>
      </c>
      <c r="L83" s="2">
        <f>K83/500</f>
        <v>15.98</v>
      </c>
    </row>
    <row r="84" spans="1:12" ht="15.75" x14ac:dyDescent="0.25">
      <c r="A84" s="382" t="s">
        <v>20</v>
      </c>
      <c r="B84" s="364"/>
      <c r="C84" s="364"/>
      <c r="D84" s="364"/>
      <c r="E84" s="364"/>
      <c r="F84" s="365"/>
      <c r="G84" s="62">
        <f>G83/G85</f>
        <v>0.41264666666666666</v>
      </c>
      <c r="H84" s="2"/>
      <c r="I84" s="2"/>
      <c r="J84" s="2"/>
      <c r="K84" s="2"/>
      <c r="L84" s="2"/>
    </row>
    <row r="85" spans="1:12" ht="15.75" x14ac:dyDescent="0.25">
      <c r="A85" s="382" t="s">
        <v>21</v>
      </c>
      <c r="B85" s="364"/>
      <c r="C85" s="364"/>
      <c r="D85" s="364"/>
      <c r="E85" s="364"/>
      <c r="F85" s="365"/>
      <c r="G85" s="29">
        <v>12000</v>
      </c>
      <c r="H85" s="2"/>
      <c r="I85" s="2"/>
      <c r="J85" s="2"/>
      <c r="K85" s="2"/>
      <c r="L85" s="2"/>
    </row>
    <row r="86" spans="1:12" ht="15.75" x14ac:dyDescent="0.25">
      <c r="A86" s="382" t="s">
        <v>22</v>
      </c>
      <c r="B86" s="364"/>
      <c r="C86" s="364"/>
      <c r="D86" s="364"/>
      <c r="E86" s="364"/>
      <c r="F86" s="365"/>
      <c r="G86" s="29">
        <f>G85*0.08</f>
        <v>960</v>
      </c>
      <c r="H86" s="2"/>
      <c r="I86" s="2"/>
      <c r="J86" s="2"/>
      <c r="K86" s="2"/>
      <c r="L86" s="2"/>
    </row>
    <row r="87" spans="1:12" ht="15.75" x14ac:dyDescent="0.25">
      <c r="A87" s="382" t="s">
        <v>23</v>
      </c>
      <c r="B87" s="364"/>
      <c r="C87" s="364"/>
      <c r="D87" s="364"/>
      <c r="E87" s="364"/>
      <c r="F87" s="365"/>
      <c r="G87" s="29">
        <f>G86+G85</f>
        <v>12960</v>
      </c>
      <c r="H87" s="2"/>
      <c r="I87" s="2"/>
      <c r="J87" s="2"/>
      <c r="K87" s="2"/>
      <c r="L87" s="2"/>
    </row>
    <row r="88" spans="1:12" ht="15.75" x14ac:dyDescent="0.25">
      <c r="A88" s="382" t="s">
        <v>24</v>
      </c>
      <c r="B88" s="364"/>
      <c r="C88" s="364"/>
      <c r="D88" s="364"/>
      <c r="E88" s="364"/>
      <c r="F88" s="365"/>
      <c r="G88" s="29">
        <f>G87</f>
        <v>12960</v>
      </c>
      <c r="H88" s="2"/>
      <c r="I88" s="2"/>
      <c r="J88" s="2"/>
      <c r="K88" s="2"/>
      <c r="L88" s="2"/>
    </row>
    <row r="89" spans="1:12" ht="16.5" thickBot="1" x14ac:dyDescent="0.3">
      <c r="A89" s="383" t="s">
        <v>25</v>
      </c>
      <c r="B89" s="384"/>
      <c r="C89" s="384"/>
      <c r="D89" s="384"/>
      <c r="E89" s="384"/>
      <c r="F89" s="385"/>
      <c r="G89" s="63">
        <f>(G83+G86)/G88</f>
        <v>0.45615432098765435</v>
      </c>
      <c r="H89" s="2"/>
      <c r="I89" s="2"/>
      <c r="J89" s="2"/>
      <c r="K89" s="2"/>
      <c r="L89" s="2"/>
    </row>
    <row r="90" spans="1:12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x14ac:dyDescent="0.25">
      <c r="A91" s="366" t="s">
        <v>0</v>
      </c>
      <c r="B91" s="367"/>
      <c r="C91" s="367"/>
      <c r="D91" s="367"/>
      <c r="E91" s="367"/>
      <c r="F91" s="367"/>
      <c r="G91" s="367"/>
      <c r="H91" s="2"/>
      <c r="I91" s="2"/>
      <c r="J91" s="2"/>
      <c r="K91" s="2"/>
      <c r="L91" s="2"/>
    </row>
    <row r="92" spans="1:12" ht="15.75" x14ac:dyDescent="0.25">
      <c r="A92" s="1"/>
      <c r="B92" s="1"/>
      <c r="C92" s="1"/>
      <c r="D92" s="1"/>
      <c r="E92" s="1"/>
      <c r="F92" s="1"/>
      <c r="G92" s="3"/>
      <c r="H92" s="2"/>
      <c r="I92" s="2"/>
      <c r="J92" s="2"/>
      <c r="K92" s="2"/>
      <c r="L92" s="2"/>
    </row>
    <row r="93" spans="1:12" ht="15.75" x14ac:dyDescent="0.25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</row>
    <row r="94" spans="1:12" ht="15.75" x14ac:dyDescent="0.25">
      <c r="A94" s="2" t="s">
        <v>1</v>
      </c>
      <c r="B94" s="368" t="s">
        <v>47</v>
      </c>
      <c r="C94" s="369"/>
      <c r="D94" s="369"/>
      <c r="E94" s="369"/>
      <c r="F94" s="369"/>
      <c r="G94" s="369"/>
      <c r="H94" s="2"/>
      <c r="I94" s="2"/>
      <c r="J94" s="2"/>
      <c r="K94" s="2"/>
      <c r="L94" s="2"/>
    </row>
    <row r="95" spans="1:12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6.5" thickBo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6.5" thickBot="1" x14ac:dyDescent="0.3">
      <c r="A97" s="4"/>
      <c r="B97" s="5"/>
      <c r="C97" s="6"/>
      <c r="D97" s="7"/>
      <c r="E97" s="7"/>
      <c r="F97" s="8" t="s">
        <v>2</v>
      </c>
      <c r="G97" s="9"/>
      <c r="H97" s="2"/>
      <c r="I97" s="370"/>
      <c r="J97" s="367"/>
      <c r="K97" s="367"/>
      <c r="L97" s="2"/>
    </row>
    <row r="98" spans="1:12" ht="16.5" thickBot="1" x14ac:dyDescent="0.3">
      <c r="A98" s="371" t="s">
        <v>3</v>
      </c>
      <c r="B98" s="367"/>
      <c r="C98" s="387"/>
      <c r="D98" s="10" t="s">
        <v>4</v>
      </c>
      <c r="E98" s="10" t="s">
        <v>5</v>
      </c>
      <c r="F98" s="373" t="s">
        <v>6</v>
      </c>
      <c r="G98" s="374"/>
      <c r="H98" s="2"/>
      <c r="I98" s="2"/>
      <c r="J98" s="2"/>
      <c r="K98" s="2"/>
      <c r="L98" s="2"/>
    </row>
    <row r="99" spans="1:12" ht="16.5" thickBot="1" x14ac:dyDescent="0.3">
      <c r="A99" s="11"/>
      <c r="B99" s="2"/>
      <c r="C99" s="12"/>
      <c r="D99" s="13"/>
      <c r="E99" s="13"/>
      <c r="F99" s="4" t="s">
        <v>7</v>
      </c>
      <c r="G99" s="14" t="s">
        <v>8</v>
      </c>
      <c r="H99" s="4" t="s">
        <v>9</v>
      </c>
      <c r="I99" s="4" t="s">
        <v>10</v>
      </c>
      <c r="J99" s="375" t="s">
        <v>11</v>
      </c>
      <c r="K99" s="376"/>
      <c r="L99" s="374"/>
    </row>
    <row r="100" spans="1:12" ht="15.75" x14ac:dyDescent="0.25">
      <c r="A100" s="386" t="s">
        <v>48</v>
      </c>
      <c r="B100" s="378"/>
      <c r="C100" s="392"/>
      <c r="D100" s="15">
        <v>50</v>
      </c>
      <c r="E100" s="16" t="s">
        <v>12</v>
      </c>
      <c r="F100" s="17">
        <v>7.5</v>
      </c>
      <c r="G100" s="18">
        <f>F100*D100</f>
        <v>375</v>
      </c>
      <c r="H100" s="19">
        <f>D100*L100</f>
        <v>50</v>
      </c>
      <c r="I100" s="20">
        <f t="shared" ref="I100:I106" si="6">F100*H100</f>
        <v>375</v>
      </c>
      <c r="J100" s="21" t="s">
        <v>13</v>
      </c>
      <c r="K100" s="22"/>
      <c r="L100" s="23">
        <v>1</v>
      </c>
    </row>
    <row r="101" spans="1:12" ht="15.75" x14ac:dyDescent="0.25">
      <c r="A101" s="363" t="s">
        <v>44</v>
      </c>
      <c r="B101" s="364"/>
      <c r="C101" s="393"/>
      <c r="D101" s="24">
        <v>30</v>
      </c>
      <c r="E101" s="25" t="s">
        <v>12</v>
      </c>
      <c r="F101" s="26">
        <v>10.78</v>
      </c>
      <c r="G101" s="27">
        <f t="shared" ref="G101:G106" si="7">D101*F101</f>
        <v>323.39999999999998</v>
      </c>
      <c r="H101" s="28">
        <f>D101*L100</f>
        <v>30</v>
      </c>
      <c r="I101" s="29">
        <f t="shared" si="6"/>
        <v>323.39999999999998</v>
      </c>
      <c r="J101" s="30" t="s">
        <v>14</v>
      </c>
      <c r="K101" s="31"/>
      <c r="L101" s="32">
        <f>SUM(I100:I106)</f>
        <v>4538.55</v>
      </c>
    </row>
    <row r="102" spans="1:12" ht="15.75" x14ac:dyDescent="0.25">
      <c r="A102" s="363" t="s">
        <v>49</v>
      </c>
      <c r="B102" s="364"/>
      <c r="C102" s="393"/>
      <c r="D102" s="24">
        <v>10</v>
      </c>
      <c r="E102" s="25" t="s">
        <v>12</v>
      </c>
      <c r="F102" s="72" t="s">
        <v>132</v>
      </c>
      <c r="G102" s="27">
        <v>60</v>
      </c>
      <c r="H102" s="28">
        <v>10</v>
      </c>
      <c r="I102" s="29">
        <v>60</v>
      </c>
      <c r="J102" s="380" t="s">
        <v>15</v>
      </c>
      <c r="K102" s="381"/>
      <c r="L102" s="34">
        <f>G112*L100</f>
        <v>28000</v>
      </c>
    </row>
    <row r="103" spans="1:12" ht="15.75" x14ac:dyDescent="0.25">
      <c r="A103" s="363" t="s">
        <v>38</v>
      </c>
      <c r="B103" s="364"/>
      <c r="C103" s="363"/>
      <c r="D103" s="24">
        <v>50</v>
      </c>
      <c r="E103" s="25" t="s">
        <v>12</v>
      </c>
      <c r="F103" s="26">
        <v>35</v>
      </c>
      <c r="G103" s="27">
        <f t="shared" si="7"/>
        <v>1750</v>
      </c>
      <c r="H103" s="28">
        <f>D103*L100</f>
        <v>50</v>
      </c>
      <c r="I103" s="29">
        <f t="shared" si="6"/>
        <v>1750</v>
      </c>
      <c r="J103" s="2"/>
      <c r="K103" s="2"/>
      <c r="L103" s="2"/>
    </row>
    <row r="104" spans="1:12" ht="15.75" x14ac:dyDescent="0.25">
      <c r="A104" s="363" t="s">
        <v>50</v>
      </c>
      <c r="B104" s="364"/>
      <c r="C104" s="363"/>
      <c r="D104" s="24">
        <v>1</v>
      </c>
      <c r="E104" s="25" t="s">
        <v>12</v>
      </c>
      <c r="F104" s="26">
        <v>2.5499999999999998</v>
      </c>
      <c r="G104" s="27">
        <f t="shared" si="7"/>
        <v>2.5499999999999998</v>
      </c>
      <c r="H104" s="28">
        <f>D104*L100</f>
        <v>1</v>
      </c>
      <c r="I104" s="29">
        <f t="shared" si="6"/>
        <v>2.5499999999999998</v>
      </c>
      <c r="J104" s="2"/>
      <c r="K104" s="2"/>
      <c r="L104" s="2"/>
    </row>
    <row r="105" spans="1:12" ht="15.75" x14ac:dyDescent="0.25">
      <c r="A105" s="363" t="s">
        <v>51</v>
      </c>
      <c r="B105" s="364"/>
      <c r="C105" s="363"/>
      <c r="D105" s="24">
        <v>2</v>
      </c>
      <c r="E105" s="25" t="s">
        <v>12</v>
      </c>
      <c r="F105" s="26">
        <v>55</v>
      </c>
      <c r="G105" s="27">
        <f t="shared" si="7"/>
        <v>110</v>
      </c>
      <c r="H105" s="28">
        <f>D105*L100</f>
        <v>2</v>
      </c>
      <c r="I105" s="29">
        <f t="shared" si="6"/>
        <v>110</v>
      </c>
      <c r="J105" s="2"/>
      <c r="K105" s="2"/>
      <c r="L105" s="2"/>
    </row>
    <row r="106" spans="1:12" ht="16.5" thickBot="1" x14ac:dyDescent="0.3">
      <c r="A106" s="396" t="s">
        <v>526</v>
      </c>
      <c r="B106" s="364"/>
      <c r="C106" s="396"/>
      <c r="D106" s="24">
        <v>120</v>
      </c>
      <c r="E106" s="25" t="s">
        <v>12</v>
      </c>
      <c r="F106" s="37">
        <v>15.98</v>
      </c>
      <c r="G106" s="27">
        <f t="shared" si="7"/>
        <v>1917.6000000000001</v>
      </c>
      <c r="H106" s="28">
        <f>D106*L100</f>
        <v>120</v>
      </c>
      <c r="I106" s="29">
        <f t="shared" si="6"/>
        <v>1917.6000000000001</v>
      </c>
      <c r="J106" s="2"/>
      <c r="K106" s="2"/>
      <c r="L106" s="2"/>
    </row>
    <row r="107" spans="1:12" ht="15.75" x14ac:dyDescent="0.25">
      <c r="A107" s="50" t="s">
        <v>16</v>
      </c>
      <c r="B107" s="51"/>
      <c r="C107" s="51"/>
      <c r="D107" s="52"/>
      <c r="E107" s="52"/>
      <c r="F107" s="53"/>
      <c r="G107" s="20">
        <f>SUM(G100:G106)</f>
        <v>4538.55</v>
      </c>
      <c r="H107" s="2"/>
      <c r="I107" s="2"/>
      <c r="J107" s="2"/>
      <c r="K107" s="2"/>
      <c r="L107" s="2"/>
    </row>
    <row r="108" spans="1:12" ht="15.75" x14ac:dyDescent="0.25">
      <c r="A108" s="54" t="s">
        <v>17</v>
      </c>
      <c r="B108" s="55"/>
      <c r="C108" s="55"/>
      <c r="D108" s="56"/>
      <c r="E108" s="56"/>
      <c r="F108" s="57"/>
      <c r="G108" s="29">
        <f>G107*0.1</f>
        <v>453.85500000000002</v>
      </c>
      <c r="H108" s="2"/>
      <c r="I108" s="2"/>
      <c r="J108" s="2"/>
      <c r="K108" s="2"/>
      <c r="L108" s="2"/>
    </row>
    <row r="109" spans="1:12" ht="16.5" thickBot="1" x14ac:dyDescent="0.3">
      <c r="A109" s="54" t="s">
        <v>18</v>
      </c>
      <c r="B109" s="55"/>
      <c r="C109" s="55"/>
      <c r="D109" s="56"/>
      <c r="E109" s="56"/>
      <c r="F109" s="58"/>
      <c r="G109" s="29">
        <f>SUM(G107:G108)</f>
        <v>4992.4050000000007</v>
      </c>
      <c r="H109" s="2"/>
      <c r="I109" s="2"/>
      <c r="J109" s="2"/>
      <c r="K109" s="2"/>
      <c r="L109" s="2"/>
    </row>
    <row r="110" spans="1:12" ht="15.75" x14ac:dyDescent="0.25">
      <c r="A110" s="59" t="s">
        <v>19</v>
      </c>
      <c r="B110" s="33"/>
      <c r="C110" s="33"/>
      <c r="D110" s="60"/>
      <c r="E110" s="60"/>
      <c r="F110" s="61">
        <v>1</v>
      </c>
      <c r="G110" s="27">
        <f>G109/F110</f>
        <v>4992.4050000000007</v>
      </c>
      <c r="H110" s="2"/>
      <c r="I110" s="2"/>
      <c r="J110" s="2"/>
      <c r="K110" s="2"/>
      <c r="L110" s="2"/>
    </row>
    <row r="111" spans="1:12" ht="15.75" x14ac:dyDescent="0.25">
      <c r="A111" s="382" t="s">
        <v>20</v>
      </c>
      <c r="B111" s="364"/>
      <c r="C111" s="364"/>
      <c r="D111" s="364"/>
      <c r="E111" s="364"/>
      <c r="F111" s="365"/>
      <c r="G111" s="62">
        <f>G110/G112</f>
        <v>0.1783001785714286</v>
      </c>
      <c r="H111" s="2"/>
      <c r="I111" s="2"/>
      <c r="J111" s="2"/>
      <c r="K111" s="2"/>
      <c r="L111" s="2"/>
    </row>
    <row r="112" spans="1:12" ht="15.75" x14ac:dyDescent="0.25">
      <c r="A112" s="382" t="s">
        <v>21</v>
      </c>
      <c r="B112" s="364"/>
      <c r="C112" s="364"/>
      <c r="D112" s="364"/>
      <c r="E112" s="364"/>
      <c r="F112" s="365"/>
      <c r="G112" s="29">
        <v>28000</v>
      </c>
      <c r="H112" s="2"/>
      <c r="I112" s="2"/>
      <c r="J112" s="2"/>
      <c r="K112" s="2"/>
      <c r="L112" s="2"/>
    </row>
    <row r="113" spans="1:12" ht="15.75" x14ac:dyDescent="0.25">
      <c r="A113" s="382" t="s">
        <v>22</v>
      </c>
      <c r="B113" s="364"/>
      <c r="C113" s="364"/>
      <c r="D113" s="364"/>
      <c r="E113" s="364"/>
      <c r="F113" s="365"/>
      <c r="G113" s="29">
        <f>G112*0.08</f>
        <v>2240</v>
      </c>
      <c r="H113" s="2"/>
      <c r="I113" s="2"/>
      <c r="J113" s="2"/>
      <c r="K113" s="2"/>
      <c r="L113" s="2"/>
    </row>
    <row r="114" spans="1:12" ht="15.75" x14ac:dyDescent="0.25">
      <c r="A114" s="382" t="s">
        <v>23</v>
      </c>
      <c r="B114" s="364"/>
      <c r="C114" s="364"/>
      <c r="D114" s="364"/>
      <c r="E114" s="364"/>
      <c r="F114" s="365"/>
      <c r="G114" s="29">
        <f>G113+G112</f>
        <v>30240</v>
      </c>
      <c r="H114" s="2"/>
      <c r="I114" s="2"/>
      <c r="J114" s="2"/>
      <c r="K114" s="2"/>
      <c r="L114" s="2"/>
    </row>
    <row r="115" spans="1:12" ht="15.75" x14ac:dyDescent="0.25">
      <c r="A115" s="382" t="s">
        <v>24</v>
      </c>
      <c r="B115" s="364"/>
      <c r="C115" s="364"/>
      <c r="D115" s="364"/>
      <c r="E115" s="364"/>
      <c r="F115" s="365"/>
      <c r="G115" s="29">
        <f>G114</f>
        <v>30240</v>
      </c>
      <c r="H115" s="2"/>
      <c r="I115" s="2"/>
      <c r="J115" s="2"/>
      <c r="K115" s="2"/>
      <c r="L115" s="2"/>
    </row>
    <row r="116" spans="1:12" ht="16.5" thickBot="1" x14ac:dyDescent="0.3">
      <c r="A116" s="383" t="s">
        <v>25</v>
      </c>
      <c r="B116" s="384"/>
      <c r="C116" s="384"/>
      <c r="D116" s="384"/>
      <c r="E116" s="384"/>
      <c r="F116" s="385"/>
      <c r="G116" s="63">
        <f>(G110+G113)/G115</f>
        <v>0.23916683201058203</v>
      </c>
      <c r="H116" s="2"/>
      <c r="I116" s="2"/>
      <c r="J116" s="2"/>
      <c r="K116" s="2"/>
      <c r="L116" s="2"/>
    </row>
    <row r="117" spans="1:12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x14ac:dyDescent="0.25">
      <c r="A118" s="366" t="s">
        <v>0</v>
      </c>
      <c r="B118" s="367"/>
      <c r="C118" s="367"/>
      <c r="D118" s="367"/>
      <c r="E118" s="367"/>
      <c r="F118" s="367"/>
      <c r="G118" s="367"/>
      <c r="H118" s="2"/>
      <c r="I118" s="2"/>
      <c r="J118" s="2"/>
      <c r="K118" s="2"/>
      <c r="L118" s="2"/>
    </row>
    <row r="119" spans="1:12" ht="15.75" x14ac:dyDescent="0.25">
      <c r="A119" s="1"/>
      <c r="B119" s="1"/>
      <c r="C119" s="1"/>
      <c r="D119" s="1"/>
      <c r="E119" s="1"/>
      <c r="F119" s="1"/>
      <c r="G119" s="3"/>
      <c r="H119" s="2"/>
      <c r="I119" s="2"/>
      <c r="J119" s="2"/>
      <c r="K119" s="2"/>
      <c r="L119" s="2"/>
    </row>
    <row r="120" spans="1:12" ht="15.75" x14ac:dyDescent="0.25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</row>
    <row r="121" spans="1:12" ht="15.75" x14ac:dyDescent="0.25">
      <c r="A121" s="2" t="s">
        <v>1</v>
      </c>
      <c r="B121" s="368" t="s">
        <v>43</v>
      </c>
      <c r="C121" s="369"/>
      <c r="D121" s="369"/>
      <c r="E121" s="369"/>
      <c r="F121" s="369"/>
      <c r="G121" s="369"/>
      <c r="H121" s="2"/>
      <c r="I121" s="2"/>
      <c r="J121" s="2"/>
      <c r="K121" s="2"/>
      <c r="L121" s="2"/>
    </row>
    <row r="122" spans="1:12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6.5" thickBo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6.5" thickBot="1" x14ac:dyDescent="0.3">
      <c r="A124" s="4"/>
      <c r="B124" s="5"/>
      <c r="C124" s="6"/>
      <c r="D124" s="7"/>
      <c r="E124" s="7"/>
      <c r="F124" s="8" t="s">
        <v>2</v>
      </c>
      <c r="G124" s="9"/>
      <c r="H124" s="2"/>
      <c r="I124" s="370"/>
      <c r="J124" s="367"/>
      <c r="K124" s="367"/>
      <c r="L124" s="2"/>
    </row>
    <row r="125" spans="1:12" ht="16.5" thickBot="1" x14ac:dyDescent="0.3">
      <c r="A125" s="371" t="s">
        <v>3</v>
      </c>
      <c r="B125" s="367"/>
      <c r="C125" s="387"/>
      <c r="D125" s="10" t="s">
        <v>4</v>
      </c>
      <c r="E125" s="10" t="s">
        <v>5</v>
      </c>
      <c r="F125" s="373" t="s">
        <v>6</v>
      </c>
      <c r="G125" s="374"/>
      <c r="H125" s="2"/>
      <c r="I125" s="2"/>
      <c r="J125" s="2"/>
      <c r="K125" s="2"/>
      <c r="L125" s="2"/>
    </row>
    <row r="126" spans="1:12" ht="16.5" thickBot="1" x14ac:dyDescent="0.3">
      <c r="A126" s="11"/>
      <c r="B126" s="2"/>
      <c r="C126" s="12"/>
      <c r="D126" s="13"/>
      <c r="E126" s="13"/>
      <c r="F126" s="4" t="s">
        <v>7</v>
      </c>
      <c r="G126" s="14" t="s">
        <v>8</v>
      </c>
      <c r="H126" s="4" t="s">
        <v>9</v>
      </c>
      <c r="I126" s="4" t="s">
        <v>10</v>
      </c>
      <c r="J126" s="375" t="s">
        <v>11</v>
      </c>
      <c r="K126" s="376"/>
      <c r="L126" s="374"/>
    </row>
    <row r="127" spans="1:12" ht="15.75" x14ac:dyDescent="0.25">
      <c r="A127" s="386" t="s">
        <v>44</v>
      </c>
      <c r="B127" s="378"/>
      <c r="C127" s="392"/>
      <c r="D127" s="15">
        <v>100</v>
      </c>
      <c r="E127" s="16" t="s">
        <v>12</v>
      </c>
      <c r="F127" s="17">
        <v>10.72</v>
      </c>
      <c r="G127" s="18">
        <f t="shared" ref="G127:G132" si="8">D127*F127</f>
        <v>1072</v>
      </c>
      <c r="H127" s="19">
        <f>D127*L127</f>
        <v>100</v>
      </c>
      <c r="I127" s="20">
        <f t="shared" ref="I127:I132" si="9">F127*H127</f>
        <v>1072</v>
      </c>
      <c r="J127" s="21" t="s">
        <v>13</v>
      </c>
      <c r="K127" s="22"/>
      <c r="L127" s="23">
        <v>1</v>
      </c>
    </row>
    <row r="128" spans="1:12" ht="15.75" x14ac:dyDescent="0.25">
      <c r="A128" s="363" t="s">
        <v>45</v>
      </c>
      <c r="B128" s="364"/>
      <c r="C128" s="393"/>
      <c r="D128" s="24">
        <v>30</v>
      </c>
      <c r="E128" s="25" t="s">
        <v>12</v>
      </c>
      <c r="F128" s="26">
        <v>83.45</v>
      </c>
      <c r="G128" s="27">
        <f t="shared" si="8"/>
        <v>2503.5</v>
      </c>
      <c r="H128" s="28">
        <f>D128*L127</f>
        <v>30</v>
      </c>
      <c r="I128" s="29">
        <f t="shared" si="9"/>
        <v>2503.5</v>
      </c>
      <c r="J128" s="30" t="s">
        <v>14</v>
      </c>
      <c r="K128" s="31"/>
      <c r="L128" s="32">
        <f>SUM(I127:I132)</f>
        <v>5666.47</v>
      </c>
    </row>
    <row r="129" spans="1:12" ht="15.75" x14ac:dyDescent="0.25">
      <c r="A129" s="363" t="s">
        <v>46</v>
      </c>
      <c r="B129" s="364"/>
      <c r="C129" s="393"/>
      <c r="D129" s="24">
        <v>2</v>
      </c>
      <c r="E129" s="25" t="s">
        <v>12</v>
      </c>
      <c r="F129" s="26">
        <v>55</v>
      </c>
      <c r="G129" s="27">
        <f t="shared" si="8"/>
        <v>110</v>
      </c>
      <c r="H129" s="28">
        <f>D129*L127</f>
        <v>2</v>
      </c>
      <c r="I129" s="29">
        <f t="shared" si="9"/>
        <v>110</v>
      </c>
      <c r="J129" s="380" t="s">
        <v>15</v>
      </c>
      <c r="K129" s="381"/>
      <c r="L129" s="34">
        <f>G138*L127</f>
        <v>26000</v>
      </c>
    </row>
    <row r="130" spans="1:12" ht="15.75" x14ac:dyDescent="0.25">
      <c r="A130" s="363" t="s">
        <v>40</v>
      </c>
      <c r="B130" s="364"/>
      <c r="C130" s="363"/>
      <c r="D130" s="24">
        <v>2</v>
      </c>
      <c r="E130" s="25" t="s">
        <v>12</v>
      </c>
      <c r="F130" s="26">
        <v>2.6</v>
      </c>
      <c r="G130" s="27">
        <f t="shared" si="8"/>
        <v>5.2</v>
      </c>
      <c r="H130" s="28">
        <f>D130*L127</f>
        <v>2</v>
      </c>
      <c r="I130" s="29">
        <f t="shared" si="9"/>
        <v>5.2</v>
      </c>
      <c r="J130" s="2"/>
      <c r="K130" s="2"/>
      <c r="L130" s="2"/>
    </row>
    <row r="131" spans="1:12" ht="15.75" x14ac:dyDescent="0.25">
      <c r="A131" s="363" t="s">
        <v>41</v>
      </c>
      <c r="B131" s="364"/>
      <c r="C131" s="363"/>
      <c r="D131" s="24">
        <v>1</v>
      </c>
      <c r="E131" s="25" t="s">
        <v>12</v>
      </c>
      <c r="F131" s="26">
        <v>58.17</v>
      </c>
      <c r="G131" s="27">
        <f t="shared" si="8"/>
        <v>58.17</v>
      </c>
      <c r="H131" s="28">
        <f>D131*L127</f>
        <v>1</v>
      </c>
      <c r="I131" s="29">
        <f t="shared" si="9"/>
        <v>58.17</v>
      </c>
      <c r="J131" s="2"/>
      <c r="K131" s="2"/>
      <c r="L131" s="2"/>
    </row>
    <row r="132" spans="1:12" ht="16.5" thickBot="1" x14ac:dyDescent="0.3">
      <c r="A132" s="396" t="s">
        <v>526</v>
      </c>
      <c r="B132" s="364"/>
      <c r="C132" s="396"/>
      <c r="D132" s="24">
        <v>120</v>
      </c>
      <c r="E132" s="25" t="s">
        <v>12</v>
      </c>
      <c r="F132" s="26">
        <v>15.98</v>
      </c>
      <c r="G132" s="27">
        <f t="shared" si="8"/>
        <v>1917.6000000000001</v>
      </c>
      <c r="H132" s="28">
        <f>D132*L127</f>
        <v>120</v>
      </c>
      <c r="I132" s="29">
        <f t="shared" si="9"/>
        <v>1917.6000000000001</v>
      </c>
      <c r="J132" s="2"/>
      <c r="K132" s="2"/>
      <c r="L132" s="2"/>
    </row>
    <row r="133" spans="1:12" ht="15.75" x14ac:dyDescent="0.25">
      <c r="A133" s="50" t="s">
        <v>16</v>
      </c>
      <c r="B133" s="51"/>
      <c r="C133" s="51"/>
      <c r="D133" s="52"/>
      <c r="E133" s="52"/>
      <c r="F133" s="53"/>
      <c r="G133" s="20">
        <f>SUM(G127:G132)</f>
        <v>5666.47</v>
      </c>
      <c r="H133" s="2"/>
      <c r="I133" s="2"/>
      <c r="J133" s="2"/>
      <c r="K133" s="2"/>
      <c r="L133" s="2"/>
    </row>
    <row r="134" spans="1:12" ht="15.75" x14ac:dyDescent="0.25">
      <c r="A134" s="54" t="s">
        <v>17</v>
      </c>
      <c r="B134" s="55"/>
      <c r="C134" s="55"/>
      <c r="D134" s="56"/>
      <c r="E134" s="56"/>
      <c r="F134" s="57"/>
      <c r="G134" s="29">
        <f>G133*0.1</f>
        <v>566.64700000000005</v>
      </c>
      <c r="H134" s="2"/>
      <c r="I134" s="2"/>
      <c r="J134" s="2"/>
      <c r="K134" s="2"/>
      <c r="L134" s="2"/>
    </row>
    <row r="135" spans="1:12" ht="16.5" thickBot="1" x14ac:dyDescent="0.3">
      <c r="A135" s="54" t="s">
        <v>18</v>
      </c>
      <c r="B135" s="55"/>
      <c r="C135" s="55"/>
      <c r="D135" s="56"/>
      <c r="E135" s="56"/>
      <c r="F135" s="58"/>
      <c r="G135" s="29">
        <f>SUM(G133:G134)</f>
        <v>6233.1170000000002</v>
      </c>
      <c r="H135" s="2"/>
      <c r="I135" s="2"/>
      <c r="J135" s="2"/>
      <c r="K135" s="2"/>
      <c r="L135" s="2"/>
    </row>
    <row r="136" spans="1:12" ht="15.75" x14ac:dyDescent="0.25">
      <c r="A136" s="59" t="s">
        <v>19</v>
      </c>
      <c r="B136" s="33"/>
      <c r="C136" s="33"/>
      <c r="D136" s="60"/>
      <c r="E136" s="60"/>
      <c r="F136" s="61">
        <v>1</v>
      </c>
      <c r="G136" s="27">
        <f>G135/F136</f>
        <v>6233.1170000000002</v>
      </c>
      <c r="H136" s="2"/>
      <c r="I136" s="2"/>
      <c r="J136" s="2"/>
      <c r="K136" s="2"/>
      <c r="L136" s="2"/>
    </row>
    <row r="137" spans="1:12" ht="15.75" x14ac:dyDescent="0.25">
      <c r="A137" s="382" t="s">
        <v>20</v>
      </c>
      <c r="B137" s="364"/>
      <c r="C137" s="364"/>
      <c r="D137" s="364"/>
      <c r="E137" s="364"/>
      <c r="F137" s="365"/>
      <c r="G137" s="62">
        <f>G136/G138</f>
        <v>0.23973526923076924</v>
      </c>
      <c r="H137" s="2"/>
      <c r="I137" s="2"/>
      <c r="J137" s="2"/>
      <c r="K137" s="2"/>
      <c r="L137" s="2"/>
    </row>
    <row r="138" spans="1:12" ht="15.75" x14ac:dyDescent="0.25">
      <c r="A138" s="382" t="s">
        <v>21</v>
      </c>
      <c r="B138" s="364"/>
      <c r="C138" s="364"/>
      <c r="D138" s="364"/>
      <c r="E138" s="364"/>
      <c r="F138" s="365"/>
      <c r="G138" s="29">
        <v>26000</v>
      </c>
      <c r="H138" s="2"/>
      <c r="I138" s="2"/>
      <c r="J138" s="2"/>
      <c r="K138" s="2"/>
      <c r="L138" s="2"/>
    </row>
    <row r="139" spans="1:12" ht="15.75" x14ac:dyDescent="0.25">
      <c r="A139" s="382" t="s">
        <v>22</v>
      </c>
      <c r="B139" s="364"/>
      <c r="C139" s="364"/>
      <c r="D139" s="364"/>
      <c r="E139" s="364"/>
      <c r="F139" s="365"/>
      <c r="G139" s="29">
        <f>G138*0.08</f>
        <v>2080</v>
      </c>
      <c r="H139" s="2"/>
      <c r="I139" s="2"/>
      <c r="J139" s="2"/>
      <c r="K139" s="2"/>
      <c r="L139" s="2"/>
    </row>
    <row r="140" spans="1:12" ht="15.75" x14ac:dyDescent="0.25">
      <c r="A140" s="382" t="s">
        <v>23</v>
      </c>
      <c r="B140" s="364"/>
      <c r="C140" s="364"/>
      <c r="D140" s="364"/>
      <c r="E140" s="364"/>
      <c r="F140" s="365"/>
      <c r="G140" s="29">
        <f>G139+G138</f>
        <v>28080</v>
      </c>
      <c r="H140" s="2"/>
      <c r="I140" s="2"/>
      <c r="J140" s="2"/>
      <c r="K140" s="2"/>
      <c r="L140" s="2"/>
    </row>
    <row r="141" spans="1:12" ht="15.75" x14ac:dyDescent="0.25">
      <c r="A141" s="382" t="s">
        <v>24</v>
      </c>
      <c r="B141" s="364"/>
      <c r="C141" s="364"/>
      <c r="D141" s="364"/>
      <c r="E141" s="364"/>
      <c r="F141" s="365"/>
      <c r="G141" s="29">
        <f>G140</f>
        <v>28080</v>
      </c>
      <c r="H141" s="141">
        <f>G141/500</f>
        <v>56.16</v>
      </c>
      <c r="I141" s="2"/>
      <c r="J141" s="2"/>
      <c r="K141" s="2"/>
      <c r="L141" s="2"/>
    </row>
    <row r="142" spans="1:12" ht="16.5" thickBot="1" x14ac:dyDescent="0.3">
      <c r="A142" s="383" t="s">
        <v>25</v>
      </c>
      <c r="B142" s="384"/>
      <c r="C142" s="384"/>
      <c r="D142" s="384"/>
      <c r="E142" s="384"/>
      <c r="F142" s="385"/>
      <c r="G142" s="63">
        <f>(G136+G139)/G141</f>
        <v>0.29605117521367524</v>
      </c>
      <c r="H142" s="2"/>
      <c r="I142" s="2"/>
      <c r="J142" s="2"/>
      <c r="K142" s="2"/>
      <c r="L142" s="2"/>
    </row>
    <row r="143" spans="1:12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x14ac:dyDescent="0.25">
      <c r="A144" s="366" t="s">
        <v>0</v>
      </c>
      <c r="B144" s="367"/>
      <c r="C144" s="367"/>
      <c r="D144" s="367"/>
      <c r="E144" s="367"/>
      <c r="F144" s="367"/>
      <c r="G144" s="367"/>
      <c r="H144" s="2"/>
      <c r="I144" s="2"/>
      <c r="J144" s="2"/>
      <c r="K144" s="2"/>
      <c r="L144" s="2"/>
    </row>
    <row r="145" spans="1:12" ht="15.75" x14ac:dyDescent="0.25">
      <c r="A145" s="1"/>
      <c r="B145" s="1"/>
      <c r="C145" s="1"/>
      <c r="D145" s="1"/>
      <c r="E145" s="1"/>
      <c r="F145" s="1"/>
      <c r="G145" s="3"/>
      <c r="H145" s="2"/>
      <c r="I145" s="2"/>
      <c r="J145" s="2"/>
      <c r="K145" s="2"/>
      <c r="L145" s="2"/>
    </row>
    <row r="146" spans="1:12" ht="15.75" x14ac:dyDescent="0.25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</row>
    <row r="147" spans="1:12" ht="15.75" x14ac:dyDescent="0.25">
      <c r="A147" s="2" t="s">
        <v>1</v>
      </c>
      <c r="B147" s="368" t="s">
        <v>37</v>
      </c>
      <c r="C147" s="369"/>
      <c r="D147" s="369"/>
      <c r="E147" s="369"/>
      <c r="F147" s="369"/>
      <c r="G147" s="369"/>
      <c r="H147" s="2"/>
      <c r="I147" s="2"/>
      <c r="J147" s="2"/>
      <c r="K147" s="2"/>
      <c r="L147" s="2"/>
    </row>
    <row r="148" spans="1:12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6.5" thickBo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6.5" thickBot="1" x14ac:dyDescent="0.3">
      <c r="A150" s="4"/>
      <c r="B150" s="5"/>
      <c r="C150" s="6"/>
      <c r="D150" s="7"/>
      <c r="E150" s="7"/>
      <c r="F150" s="8" t="s">
        <v>2</v>
      </c>
      <c r="G150" s="9"/>
      <c r="H150" s="2"/>
      <c r="I150" s="370"/>
      <c r="J150" s="367"/>
      <c r="K150" s="367"/>
      <c r="L150" s="2"/>
    </row>
    <row r="151" spans="1:12" ht="16.5" thickBot="1" x14ac:dyDescent="0.3">
      <c r="A151" s="371" t="s">
        <v>3</v>
      </c>
      <c r="B151" s="367"/>
      <c r="C151" s="387"/>
      <c r="D151" s="10" t="s">
        <v>4</v>
      </c>
      <c r="E151" s="10" t="s">
        <v>5</v>
      </c>
      <c r="F151" s="373" t="s">
        <v>6</v>
      </c>
      <c r="G151" s="374"/>
      <c r="H151" s="2"/>
      <c r="I151" s="2"/>
      <c r="J151" s="2"/>
      <c r="K151" s="2"/>
      <c r="L151" s="2"/>
    </row>
    <row r="152" spans="1:12" ht="16.5" thickBot="1" x14ac:dyDescent="0.3">
      <c r="A152" s="11"/>
      <c r="B152" s="2"/>
      <c r="C152" s="12"/>
      <c r="D152" s="13"/>
      <c r="E152" s="13"/>
      <c r="F152" s="4" t="s">
        <v>7</v>
      </c>
      <c r="G152" s="14" t="s">
        <v>8</v>
      </c>
      <c r="H152" s="4" t="s">
        <v>9</v>
      </c>
      <c r="I152" s="4" t="s">
        <v>10</v>
      </c>
      <c r="J152" s="375" t="s">
        <v>11</v>
      </c>
      <c r="K152" s="376"/>
      <c r="L152" s="374"/>
    </row>
    <row r="153" spans="1:12" ht="15.75" x14ac:dyDescent="0.25">
      <c r="A153" s="386" t="s">
        <v>38</v>
      </c>
      <c r="B153" s="378"/>
      <c r="C153" s="392"/>
      <c r="D153" s="15">
        <v>50</v>
      </c>
      <c r="E153" s="16" t="s">
        <v>12</v>
      </c>
      <c r="F153" s="17">
        <v>34.799999999999997</v>
      </c>
      <c r="G153" s="18">
        <f t="shared" ref="G153:G159" si="10">D153*F153</f>
        <v>1739.9999999999998</v>
      </c>
      <c r="H153" s="19">
        <f>D153*L153</f>
        <v>50</v>
      </c>
      <c r="I153" s="20">
        <f t="shared" ref="I153:I159" si="11">F153*H153</f>
        <v>1739.9999999999998</v>
      </c>
      <c r="J153" s="21" t="s">
        <v>13</v>
      </c>
      <c r="K153" s="22"/>
      <c r="L153" s="23">
        <v>1</v>
      </c>
    </row>
    <row r="154" spans="1:12" ht="15.75" x14ac:dyDescent="0.25">
      <c r="A154" s="363" t="s">
        <v>28</v>
      </c>
      <c r="B154" s="364"/>
      <c r="C154" s="393"/>
      <c r="D154" s="24">
        <v>30</v>
      </c>
      <c r="E154" s="25" t="s">
        <v>12</v>
      </c>
      <c r="F154" s="26">
        <v>83.45</v>
      </c>
      <c r="G154" s="27">
        <f t="shared" si="10"/>
        <v>2503.5</v>
      </c>
      <c r="H154" s="28">
        <f>D154*L153</f>
        <v>30</v>
      </c>
      <c r="I154" s="29">
        <f t="shared" si="11"/>
        <v>2503.5</v>
      </c>
      <c r="J154" s="30" t="s">
        <v>14</v>
      </c>
      <c r="K154" s="31"/>
      <c r="L154" s="32">
        <f>SUM(I153:I159)</f>
        <v>7433.47</v>
      </c>
    </row>
    <row r="155" spans="1:12" ht="15.75" x14ac:dyDescent="0.25">
      <c r="A155" s="363" t="s">
        <v>39</v>
      </c>
      <c r="B155" s="364"/>
      <c r="C155" s="393"/>
      <c r="D155" s="24">
        <v>50</v>
      </c>
      <c r="E155" s="25" t="s">
        <v>12</v>
      </c>
      <c r="F155" s="26">
        <v>23.74</v>
      </c>
      <c r="G155" s="27">
        <f t="shared" si="10"/>
        <v>1187</v>
      </c>
      <c r="H155" s="28">
        <f>D155*L153</f>
        <v>50</v>
      </c>
      <c r="I155" s="29">
        <f t="shared" si="11"/>
        <v>1187</v>
      </c>
      <c r="J155" s="380" t="s">
        <v>15</v>
      </c>
      <c r="K155" s="381"/>
      <c r="L155" s="34">
        <f>G165*L153</f>
        <v>28000</v>
      </c>
    </row>
    <row r="156" spans="1:12" ht="15.75" x14ac:dyDescent="0.25">
      <c r="A156" s="363" t="s">
        <v>40</v>
      </c>
      <c r="B156" s="364"/>
      <c r="C156" s="393"/>
      <c r="D156" s="24">
        <v>2</v>
      </c>
      <c r="E156" s="25" t="s">
        <v>12</v>
      </c>
      <c r="F156" s="26">
        <v>2.6</v>
      </c>
      <c r="G156" s="27">
        <f t="shared" si="10"/>
        <v>5.2</v>
      </c>
      <c r="H156" s="28">
        <f>D156*L153</f>
        <v>2</v>
      </c>
      <c r="I156" s="29">
        <f t="shared" si="11"/>
        <v>5.2</v>
      </c>
      <c r="J156" s="2"/>
      <c r="K156" s="2"/>
      <c r="L156" s="2"/>
    </row>
    <row r="157" spans="1:12" ht="15.75" x14ac:dyDescent="0.25">
      <c r="A157" s="363" t="s">
        <v>41</v>
      </c>
      <c r="B157" s="364"/>
      <c r="C157" s="363"/>
      <c r="D157" s="24">
        <v>1</v>
      </c>
      <c r="E157" s="25" t="s">
        <v>12</v>
      </c>
      <c r="F157" s="26">
        <v>58.17</v>
      </c>
      <c r="G157" s="27">
        <f t="shared" si="10"/>
        <v>58.17</v>
      </c>
      <c r="H157" s="28">
        <f>D157*L153</f>
        <v>1</v>
      </c>
      <c r="I157" s="29">
        <f t="shared" si="11"/>
        <v>58.17</v>
      </c>
      <c r="J157" s="2"/>
      <c r="K157" s="2"/>
      <c r="L157" s="2"/>
    </row>
    <row r="158" spans="1:12" ht="15.75" x14ac:dyDescent="0.25">
      <c r="A158" s="363" t="s">
        <v>42</v>
      </c>
      <c r="B158" s="364"/>
      <c r="C158" s="363"/>
      <c r="D158" s="24">
        <v>2</v>
      </c>
      <c r="E158" s="25" t="s">
        <v>12</v>
      </c>
      <c r="F158" s="26">
        <v>11</v>
      </c>
      <c r="G158" s="27">
        <f t="shared" si="10"/>
        <v>22</v>
      </c>
      <c r="H158" s="28">
        <f>D158*L153</f>
        <v>2</v>
      </c>
      <c r="I158" s="29">
        <f t="shared" si="11"/>
        <v>22</v>
      </c>
      <c r="J158" s="2"/>
      <c r="K158" s="2"/>
      <c r="L158" s="2"/>
    </row>
    <row r="159" spans="1:12" ht="16.5" thickBot="1" x14ac:dyDescent="0.3">
      <c r="A159" s="396" t="s">
        <v>526</v>
      </c>
      <c r="B159" s="364"/>
      <c r="C159" s="396"/>
      <c r="D159" s="24">
        <v>120</v>
      </c>
      <c r="E159" s="25" t="s">
        <v>12</v>
      </c>
      <c r="F159" s="37">
        <v>15.98</v>
      </c>
      <c r="G159" s="27">
        <f t="shared" si="10"/>
        <v>1917.6000000000001</v>
      </c>
      <c r="H159" s="28">
        <f>D159*L153</f>
        <v>120</v>
      </c>
      <c r="I159" s="29">
        <f t="shared" si="11"/>
        <v>1917.6000000000001</v>
      </c>
      <c r="J159" s="2"/>
      <c r="K159" s="2"/>
      <c r="L159" s="2"/>
    </row>
    <row r="160" spans="1:12" ht="15.75" x14ac:dyDescent="0.25">
      <c r="A160" s="50" t="s">
        <v>16</v>
      </c>
      <c r="B160" s="51"/>
      <c r="C160" s="51"/>
      <c r="D160" s="52"/>
      <c r="E160" s="52"/>
      <c r="F160" s="53"/>
      <c r="G160" s="20">
        <f>SUM(G153:G159)</f>
        <v>7433.47</v>
      </c>
      <c r="H160" s="2"/>
      <c r="I160" s="2"/>
      <c r="J160" s="2"/>
      <c r="K160" s="2"/>
      <c r="L160" s="2"/>
    </row>
    <row r="161" spans="1:12" ht="15.75" x14ac:dyDescent="0.25">
      <c r="A161" s="54" t="s">
        <v>17</v>
      </c>
      <c r="B161" s="55"/>
      <c r="C161" s="55"/>
      <c r="D161" s="56"/>
      <c r="E161" s="56"/>
      <c r="F161" s="57"/>
      <c r="G161" s="29">
        <f>G160*0.1</f>
        <v>743.34700000000009</v>
      </c>
      <c r="H161" s="2"/>
      <c r="I161" s="2"/>
      <c r="J161" s="2"/>
      <c r="K161" s="2"/>
      <c r="L161" s="2"/>
    </row>
    <row r="162" spans="1:12" ht="16.5" thickBot="1" x14ac:dyDescent="0.3">
      <c r="A162" s="54" t="s">
        <v>18</v>
      </c>
      <c r="B162" s="55"/>
      <c r="C162" s="55"/>
      <c r="D162" s="56"/>
      <c r="E162" s="56"/>
      <c r="F162" s="58"/>
      <c r="G162" s="29">
        <f>SUM(G160:G161)</f>
        <v>8176.817</v>
      </c>
      <c r="H162" s="2"/>
      <c r="I162" s="2"/>
      <c r="J162" s="2"/>
      <c r="K162" s="2"/>
      <c r="L162" s="2"/>
    </row>
    <row r="163" spans="1:12" ht="15.75" x14ac:dyDescent="0.25">
      <c r="A163" s="59" t="s">
        <v>19</v>
      </c>
      <c r="B163" s="33"/>
      <c r="C163" s="33"/>
      <c r="D163" s="60"/>
      <c r="E163" s="60"/>
      <c r="F163" s="61">
        <v>1</v>
      </c>
      <c r="G163" s="27">
        <f>G162/F163</f>
        <v>8176.817</v>
      </c>
      <c r="H163" s="2"/>
      <c r="I163" s="2"/>
      <c r="J163" s="2"/>
      <c r="K163" s="2"/>
      <c r="L163" s="2"/>
    </row>
    <row r="164" spans="1:12" ht="15.75" x14ac:dyDescent="0.25">
      <c r="A164" s="382" t="s">
        <v>20</v>
      </c>
      <c r="B164" s="364"/>
      <c r="C164" s="364"/>
      <c r="D164" s="364"/>
      <c r="E164" s="364"/>
      <c r="F164" s="365"/>
      <c r="G164" s="62">
        <f>G163/G165</f>
        <v>0.29202917857142857</v>
      </c>
      <c r="H164" s="2"/>
      <c r="I164" s="2"/>
      <c r="J164" s="2"/>
      <c r="K164" s="2"/>
      <c r="L164" s="2"/>
    </row>
    <row r="165" spans="1:12" ht="15.75" x14ac:dyDescent="0.25">
      <c r="A165" s="382" t="s">
        <v>21</v>
      </c>
      <c r="B165" s="364"/>
      <c r="C165" s="364"/>
      <c r="D165" s="364"/>
      <c r="E165" s="364"/>
      <c r="F165" s="365"/>
      <c r="G165" s="29">
        <v>28000</v>
      </c>
      <c r="H165" s="2"/>
      <c r="I165" s="2"/>
      <c r="J165" s="2"/>
      <c r="K165" s="2"/>
      <c r="L165" s="2"/>
    </row>
    <row r="166" spans="1:12" ht="15.75" x14ac:dyDescent="0.25">
      <c r="A166" s="382" t="s">
        <v>22</v>
      </c>
      <c r="B166" s="364"/>
      <c r="C166" s="364"/>
      <c r="D166" s="364"/>
      <c r="E166" s="364"/>
      <c r="F166" s="365"/>
      <c r="G166" s="29">
        <f>G165*0.08</f>
        <v>2240</v>
      </c>
      <c r="H166" s="2"/>
      <c r="I166" s="2"/>
      <c r="J166" s="2"/>
      <c r="K166" s="2"/>
      <c r="L166" s="2"/>
    </row>
    <row r="167" spans="1:12" ht="15.75" x14ac:dyDescent="0.25">
      <c r="A167" s="382" t="s">
        <v>23</v>
      </c>
      <c r="B167" s="364"/>
      <c r="C167" s="364"/>
      <c r="D167" s="364"/>
      <c r="E167" s="364"/>
      <c r="F167" s="365"/>
      <c r="G167" s="29">
        <f>G166+G165</f>
        <v>30240</v>
      </c>
      <c r="H167" s="2"/>
      <c r="I167" s="2"/>
      <c r="J167" s="2"/>
      <c r="K167" s="2"/>
      <c r="L167" s="2"/>
    </row>
    <row r="168" spans="1:12" ht="15.75" x14ac:dyDescent="0.25">
      <c r="A168" s="382" t="s">
        <v>24</v>
      </c>
      <c r="B168" s="364"/>
      <c r="C168" s="364"/>
      <c r="D168" s="364"/>
      <c r="E168" s="364"/>
      <c r="F168" s="365"/>
      <c r="G168" s="29">
        <f>G167</f>
        <v>30240</v>
      </c>
      <c r="H168" s="2"/>
      <c r="I168" s="2"/>
      <c r="J168" s="2"/>
      <c r="K168" s="2"/>
      <c r="L168" s="2"/>
    </row>
    <row r="169" spans="1:12" ht="16.5" thickBot="1" x14ac:dyDescent="0.3">
      <c r="A169" s="383" t="s">
        <v>25</v>
      </c>
      <c r="B169" s="384"/>
      <c r="C169" s="384"/>
      <c r="D169" s="384"/>
      <c r="E169" s="384"/>
      <c r="F169" s="385"/>
      <c r="G169" s="63">
        <f>(G163+G166)/G168</f>
        <v>0.34447146164021158</v>
      </c>
      <c r="H169" s="2"/>
      <c r="I169" s="2"/>
      <c r="J169" s="2"/>
      <c r="K169" s="2"/>
      <c r="L169" s="2"/>
    </row>
    <row r="170" spans="1:12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x14ac:dyDescent="0.25">
      <c r="A171" s="366" t="s">
        <v>0</v>
      </c>
      <c r="B171" s="367"/>
      <c r="C171" s="367"/>
      <c r="D171" s="367"/>
      <c r="E171" s="367"/>
      <c r="F171" s="367"/>
      <c r="G171" s="367"/>
      <c r="H171" s="2"/>
      <c r="I171" s="2"/>
      <c r="J171" s="2"/>
      <c r="K171" s="2"/>
      <c r="L171" s="2"/>
    </row>
    <row r="172" spans="1:12" ht="15.75" x14ac:dyDescent="0.25">
      <c r="A172" s="1"/>
      <c r="B172" s="1"/>
      <c r="C172" s="1"/>
      <c r="D172" s="1"/>
      <c r="E172" s="1"/>
      <c r="F172" s="1"/>
      <c r="G172" s="3"/>
      <c r="H172" s="2"/>
      <c r="I172" s="2"/>
      <c r="J172" s="2"/>
      <c r="K172" s="2"/>
      <c r="L172" s="2"/>
    </row>
    <row r="173" spans="1:12" ht="15.75" x14ac:dyDescent="0.25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</row>
    <row r="174" spans="1:12" ht="15.75" x14ac:dyDescent="0.25">
      <c r="A174" s="2" t="s">
        <v>1</v>
      </c>
      <c r="B174" s="368" t="s">
        <v>591</v>
      </c>
      <c r="C174" s="369"/>
      <c r="D174" s="369"/>
      <c r="E174" s="369"/>
      <c r="F174" s="369"/>
      <c r="G174" s="369"/>
      <c r="H174" s="2"/>
      <c r="I174" s="2"/>
      <c r="J174" s="2"/>
      <c r="K174" s="2"/>
      <c r="L174" s="2"/>
    </row>
    <row r="175" spans="1:12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6.5" thickBo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6.5" thickBot="1" x14ac:dyDescent="0.3">
      <c r="A177" s="4"/>
      <c r="B177" s="5"/>
      <c r="C177" s="6"/>
      <c r="D177" s="7"/>
      <c r="E177" s="7"/>
      <c r="F177" s="8" t="s">
        <v>2</v>
      </c>
      <c r="G177" s="9"/>
      <c r="H177" s="2"/>
      <c r="I177" s="370"/>
      <c r="J177" s="367"/>
      <c r="K177" s="367"/>
      <c r="L177" s="2"/>
    </row>
    <row r="178" spans="1:12" ht="16.5" thickBot="1" x14ac:dyDescent="0.3">
      <c r="A178" s="371" t="s">
        <v>3</v>
      </c>
      <c r="B178" s="367"/>
      <c r="C178" s="387"/>
      <c r="D178" s="10" t="s">
        <v>4</v>
      </c>
      <c r="E178" s="10" t="s">
        <v>5</v>
      </c>
      <c r="F178" s="373" t="s">
        <v>6</v>
      </c>
      <c r="G178" s="374"/>
      <c r="H178" s="2"/>
      <c r="I178" s="2"/>
      <c r="J178" s="2"/>
      <c r="K178" s="2"/>
      <c r="L178" s="2"/>
    </row>
    <row r="179" spans="1:12" ht="16.5" thickBot="1" x14ac:dyDescent="0.3">
      <c r="A179" s="11"/>
      <c r="B179" s="2"/>
      <c r="C179" s="12"/>
      <c r="D179" s="13"/>
      <c r="E179" s="13"/>
      <c r="F179" s="4" t="s">
        <v>7</v>
      </c>
      <c r="G179" s="14" t="s">
        <v>8</v>
      </c>
      <c r="H179" s="4" t="s">
        <v>9</v>
      </c>
      <c r="I179" s="4" t="s">
        <v>10</v>
      </c>
      <c r="J179" s="375" t="s">
        <v>11</v>
      </c>
      <c r="K179" s="376"/>
      <c r="L179" s="374"/>
    </row>
    <row r="180" spans="1:12" ht="15.75" x14ac:dyDescent="0.25">
      <c r="A180" s="386" t="s">
        <v>592</v>
      </c>
      <c r="B180" s="378"/>
      <c r="C180" s="392"/>
      <c r="D180" s="15">
        <v>800</v>
      </c>
      <c r="E180" s="16" t="s">
        <v>12</v>
      </c>
      <c r="F180" s="313">
        <v>6.11</v>
      </c>
      <c r="G180" s="18">
        <f t="shared" ref="G180:G186" si="12">D180*F180</f>
        <v>4888</v>
      </c>
      <c r="H180" s="19">
        <f>D180*L180</f>
        <v>800</v>
      </c>
      <c r="I180" s="20">
        <f t="shared" ref="I180:I186" si="13">F180*H180</f>
        <v>4888</v>
      </c>
      <c r="J180" s="21" t="s">
        <v>13</v>
      </c>
      <c r="K180" s="22"/>
      <c r="L180" s="23">
        <v>1</v>
      </c>
    </row>
    <row r="181" spans="1:12" ht="15.75" x14ac:dyDescent="0.25">
      <c r="A181" s="363" t="s">
        <v>593</v>
      </c>
      <c r="B181" s="364"/>
      <c r="C181" s="393"/>
      <c r="D181" s="24">
        <v>10</v>
      </c>
      <c r="E181" s="25" t="s">
        <v>12</v>
      </c>
      <c r="F181" s="26">
        <v>9</v>
      </c>
      <c r="G181" s="27">
        <f t="shared" si="12"/>
        <v>90</v>
      </c>
      <c r="H181" s="28">
        <f>D181*L180</f>
        <v>10</v>
      </c>
      <c r="I181" s="29">
        <f t="shared" si="13"/>
        <v>90</v>
      </c>
      <c r="J181" s="30" t="s">
        <v>14</v>
      </c>
      <c r="K181" s="31"/>
      <c r="L181" s="32">
        <f>SUM(I180:I186)</f>
        <v>7402.6</v>
      </c>
    </row>
    <row r="182" spans="1:12" ht="15.75" x14ac:dyDescent="0.25">
      <c r="A182" s="363" t="s">
        <v>594</v>
      </c>
      <c r="B182" s="364"/>
      <c r="C182" s="393"/>
      <c r="D182" s="24">
        <v>50</v>
      </c>
      <c r="E182" s="25" t="s">
        <v>12</v>
      </c>
      <c r="F182" s="26">
        <v>33</v>
      </c>
      <c r="G182" s="27">
        <f t="shared" si="12"/>
        <v>1650</v>
      </c>
      <c r="H182" s="28">
        <f>D182*L180</f>
        <v>50</v>
      </c>
      <c r="I182" s="29">
        <f t="shared" si="13"/>
        <v>1650</v>
      </c>
      <c r="J182" s="380" t="s">
        <v>15</v>
      </c>
      <c r="K182" s="381"/>
      <c r="L182" s="34">
        <f>G192*L180</f>
        <v>0</v>
      </c>
    </row>
    <row r="183" spans="1:12" ht="15.75" x14ac:dyDescent="0.25">
      <c r="A183" s="363" t="s">
        <v>595</v>
      </c>
      <c r="B183" s="364"/>
      <c r="C183" s="393"/>
      <c r="D183" s="24">
        <v>30</v>
      </c>
      <c r="E183" s="25" t="s">
        <v>12</v>
      </c>
      <c r="F183" s="26">
        <v>2.52</v>
      </c>
      <c r="G183" s="27">
        <f t="shared" si="12"/>
        <v>75.599999999999994</v>
      </c>
      <c r="H183" s="28">
        <f>D183*L180</f>
        <v>30</v>
      </c>
      <c r="I183" s="29">
        <f t="shared" si="13"/>
        <v>75.599999999999994</v>
      </c>
      <c r="J183" s="2"/>
      <c r="K183" s="2"/>
      <c r="L183" s="2"/>
    </row>
    <row r="184" spans="1:12" ht="15.75" x14ac:dyDescent="0.25">
      <c r="A184" s="363" t="s">
        <v>596</v>
      </c>
      <c r="B184" s="364"/>
      <c r="C184" s="363"/>
      <c r="D184" s="24">
        <v>100</v>
      </c>
      <c r="E184" s="25" t="s">
        <v>597</v>
      </c>
      <c r="F184" s="26">
        <v>6.99</v>
      </c>
      <c r="G184" s="27">
        <f t="shared" si="12"/>
        <v>699</v>
      </c>
      <c r="H184" s="28">
        <f>D184*L180</f>
        <v>100</v>
      </c>
      <c r="I184" s="29">
        <f t="shared" si="13"/>
        <v>699</v>
      </c>
      <c r="J184" s="2"/>
      <c r="K184" s="2"/>
      <c r="L184" s="2"/>
    </row>
    <row r="185" spans="1:12" ht="15.75" x14ac:dyDescent="0.25">
      <c r="A185" s="363" t="s">
        <v>598</v>
      </c>
      <c r="B185" s="364"/>
      <c r="C185" s="363"/>
      <c r="D185" s="24">
        <v>500</v>
      </c>
      <c r="E185" s="25" t="s">
        <v>597</v>
      </c>
      <c r="F185" s="26"/>
      <c r="G185" s="27">
        <f t="shared" si="12"/>
        <v>0</v>
      </c>
      <c r="H185" s="28">
        <f>D185*L180</f>
        <v>500</v>
      </c>
      <c r="I185" s="29">
        <f t="shared" si="13"/>
        <v>0</v>
      </c>
      <c r="J185" s="2"/>
      <c r="K185" s="2"/>
      <c r="L185" s="2"/>
    </row>
    <row r="186" spans="1:12" ht="16.5" thickBot="1" x14ac:dyDescent="0.3">
      <c r="A186" s="396"/>
      <c r="B186" s="364"/>
      <c r="C186" s="396"/>
      <c r="D186" s="24"/>
      <c r="E186" s="25"/>
      <c r="F186" s="37"/>
      <c r="G186" s="27">
        <f t="shared" si="12"/>
        <v>0</v>
      </c>
      <c r="H186" s="28">
        <f>D186*L180</f>
        <v>0</v>
      </c>
      <c r="I186" s="29">
        <f t="shared" si="13"/>
        <v>0</v>
      </c>
      <c r="J186" s="2"/>
      <c r="K186" s="2"/>
      <c r="L186" s="2"/>
    </row>
    <row r="187" spans="1:12" ht="15.75" x14ac:dyDescent="0.25">
      <c r="A187" s="50" t="s">
        <v>16</v>
      </c>
      <c r="B187" s="51"/>
      <c r="C187" s="51"/>
      <c r="D187" s="52"/>
      <c r="E187" s="52"/>
      <c r="F187" s="53"/>
      <c r="G187" s="20">
        <f>SUM(G180:G186)</f>
        <v>7402.6</v>
      </c>
      <c r="H187" s="2"/>
      <c r="I187" s="2"/>
      <c r="J187" s="2"/>
      <c r="K187" s="2"/>
      <c r="L187" s="2"/>
    </row>
    <row r="188" spans="1:12" ht="15.75" x14ac:dyDescent="0.25">
      <c r="A188" s="54" t="s">
        <v>17</v>
      </c>
      <c r="B188" s="55"/>
      <c r="C188" s="55"/>
      <c r="D188" s="56"/>
      <c r="E188" s="56"/>
      <c r="F188" s="57"/>
      <c r="G188" s="29">
        <f>G187*0.1</f>
        <v>740.2600000000001</v>
      </c>
      <c r="H188" s="2"/>
      <c r="I188" s="2"/>
      <c r="J188" s="2"/>
      <c r="K188" s="2"/>
      <c r="L188" s="2"/>
    </row>
    <row r="189" spans="1:12" ht="16.5" thickBot="1" x14ac:dyDescent="0.3">
      <c r="A189" s="54" t="s">
        <v>18</v>
      </c>
      <c r="B189" s="55"/>
      <c r="C189" s="55"/>
      <c r="D189" s="56"/>
      <c r="E189" s="56"/>
      <c r="F189" s="58"/>
      <c r="G189" s="29">
        <f>SUM(G187:G188)</f>
        <v>8142.8600000000006</v>
      </c>
      <c r="H189" s="2"/>
      <c r="I189" s="2"/>
      <c r="J189" s="2"/>
      <c r="K189" s="2"/>
      <c r="L189" s="2"/>
    </row>
    <row r="190" spans="1:12" ht="15.75" x14ac:dyDescent="0.25">
      <c r="A190" s="59" t="s">
        <v>19</v>
      </c>
      <c r="B190" s="33"/>
      <c r="C190" s="33"/>
      <c r="D190" s="60"/>
      <c r="E190" s="60"/>
      <c r="F190" s="61">
        <v>1</v>
      </c>
      <c r="G190" s="27">
        <f>G189/F190</f>
        <v>8142.8600000000006</v>
      </c>
      <c r="H190" s="317">
        <f>G190/1000</f>
        <v>8.1428600000000007</v>
      </c>
      <c r="I190" s="2"/>
      <c r="J190" s="2"/>
      <c r="K190" s="2"/>
      <c r="L190" s="2"/>
    </row>
    <row r="191" spans="1:12" ht="15.75" x14ac:dyDescent="0.25">
      <c r="A191" s="382" t="s">
        <v>20</v>
      </c>
      <c r="B191" s="364"/>
      <c r="C191" s="364"/>
      <c r="D191" s="364"/>
      <c r="E191" s="364"/>
      <c r="F191" s="365"/>
      <c r="G191" s="62" t="e">
        <f>G190/G192</f>
        <v>#DIV/0!</v>
      </c>
      <c r="H191" s="2"/>
      <c r="I191" s="2"/>
      <c r="J191" s="2"/>
      <c r="K191" s="2"/>
      <c r="L191" s="2"/>
    </row>
    <row r="192" spans="1:12" ht="15.75" x14ac:dyDescent="0.25">
      <c r="A192" s="382" t="s">
        <v>21</v>
      </c>
      <c r="B192" s="364"/>
      <c r="C192" s="364"/>
      <c r="D192" s="364"/>
      <c r="E192" s="364"/>
      <c r="F192" s="365"/>
      <c r="G192" s="29">
        <v>0</v>
      </c>
      <c r="H192" s="2"/>
      <c r="I192" s="2"/>
      <c r="J192" s="2"/>
      <c r="K192" s="2"/>
      <c r="L192" s="2"/>
    </row>
    <row r="193" spans="1:12" ht="15.75" x14ac:dyDescent="0.25">
      <c r="A193" s="382" t="s">
        <v>22</v>
      </c>
      <c r="B193" s="364"/>
      <c r="C193" s="364"/>
      <c r="D193" s="364"/>
      <c r="E193" s="364"/>
      <c r="F193" s="365"/>
      <c r="G193" s="29">
        <f>G192*0.08</f>
        <v>0</v>
      </c>
      <c r="H193" s="2"/>
      <c r="I193" s="2"/>
      <c r="J193" s="2"/>
      <c r="K193" s="2"/>
      <c r="L193" s="2"/>
    </row>
    <row r="194" spans="1:12" ht="15.75" x14ac:dyDescent="0.25">
      <c r="A194" s="382" t="s">
        <v>23</v>
      </c>
      <c r="B194" s="364"/>
      <c r="C194" s="364"/>
      <c r="D194" s="364"/>
      <c r="E194" s="364"/>
      <c r="F194" s="365"/>
      <c r="G194" s="29">
        <f>G193+G192</f>
        <v>0</v>
      </c>
      <c r="H194" s="2"/>
      <c r="I194" s="2"/>
      <c r="J194" s="2"/>
      <c r="K194" s="2"/>
      <c r="L194" s="2"/>
    </row>
    <row r="195" spans="1:12" ht="15.75" x14ac:dyDescent="0.25">
      <c r="A195" s="382" t="s">
        <v>24</v>
      </c>
      <c r="B195" s="364"/>
      <c r="C195" s="364"/>
      <c r="D195" s="364"/>
      <c r="E195" s="364"/>
      <c r="F195" s="365"/>
      <c r="G195" s="29">
        <f>G194</f>
        <v>0</v>
      </c>
      <c r="H195" s="2"/>
      <c r="I195" s="2"/>
      <c r="J195" s="2"/>
      <c r="K195" s="2"/>
      <c r="L195" s="2"/>
    </row>
    <row r="196" spans="1:12" ht="16.5" thickBot="1" x14ac:dyDescent="0.3">
      <c r="A196" s="383" t="s">
        <v>25</v>
      </c>
      <c r="B196" s="384"/>
      <c r="C196" s="384"/>
      <c r="D196" s="384"/>
      <c r="E196" s="384"/>
      <c r="F196" s="385"/>
      <c r="G196" s="63" t="e">
        <f>(G190+G193)/G195</f>
        <v>#DIV/0!</v>
      </c>
      <c r="H196" s="2"/>
      <c r="I196" s="2"/>
      <c r="J196" s="2"/>
      <c r="K196" s="2"/>
      <c r="L196" s="2"/>
    </row>
    <row r="197" spans="1:12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</sheetData>
  <mergeCells count="145">
    <mergeCell ref="A196:F196"/>
    <mergeCell ref="A183:C183"/>
    <mergeCell ref="A184:C184"/>
    <mergeCell ref="A185:C185"/>
    <mergeCell ref="A186:C186"/>
    <mergeCell ref="A191:F191"/>
    <mergeCell ref="A192:F192"/>
    <mergeCell ref="A193:F193"/>
    <mergeCell ref="A194:F194"/>
    <mergeCell ref="A195:F195"/>
    <mergeCell ref="A171:G171"/>
    <mergeCell ref="B174:G174"/>
    <mergeCell ref="I177:K177"/>
    <mergeCell ref="A178:C178"/>
    <mergeCell ref="F178:G178"/>
    <mergeCell ref="J179:L179"/>
    <mergeCell ref="A180:C180"/>
    <mergeCell ref="A181:C181"/>
    <mergeCell ref="A182:C182"/>
    <mergeCell ref="J182:K182"/>
    <mergeCell ref="A48:C48"/>
    <mergeCell ref="A103:C103"/>
    <mergeCell ref="A79:C79"/>
    <mergeCell ref="A78:C78"/>
    <mergeCell ref="A77:C77"/>
    <mergeCell ref="A76:C76"/>
    <mergeCell ref="A52:C52"/>
    <mergeCell ref="A51:C51"/>
    <mergeCell ref="A50:C50"/>
    <mergeCell ref="A49:C49"/>
    <mergeCell ref="A85:F85"/>
    <mergeCell ref="A86:F86"/>
    <mergeCell ref="A87:F87"/>
    <mergeCell ref="A88:F88"/>
    <mergeCell ref="A89:F89"/>
    <mergeCell ref="A84:F84"/>
    <mergeCell ref="A57:F57"/>
    <mergeCell ref="A58:F58"/>
    <mergeCell ref="A59:F59"/>
    <mergeCell ref="A60:F60"/>
    <mergeCell ref="A61:F61"/>
    <mergeCell ref="A132:C132"/>
    <mergeCell ref="A131:C131"/>
    <mergeCell ref="A130:C130"/>
    <mergeCell ref="A106:C106"/>
    <mergeCell ref="A105:C105"/>
    <mergeCell ref="A104:C104"/>
    <mergeCell ref="A137:F137"/>
    <mergeCell ref="A138:F138"/>
    <mergeCell ref="A112:F112"/>
    <mergeCell ref="A113:F113"/>
    <mergeCell ref="A114:F114"/>
    <mergeCell ref="A115:F115"/>
    <mergeCell ref="A116:F116"/>
    <mergeCell ref="A111:F111"/>
    <mergeCell ref="A166:F166"/>
    <mergeCell ref="A167:F167"/>
    <mergeCell ref="A168:F168"/>
    <mergeCell ref="A169:F169"/>
    <mergeCell ref="A164:F164"/>
    <mergeCell ref="A165:F165"/>
    <mergeCell ref="A153:C153"/>
    <mergeCell ref="A154:C154"/>
    <mergeCell ref="A155:C155"/>
    <mergeCell ref="A159:C159"/>
    <mergeCell ref="A158:C158"/>
    <mergeCell ref="A157:C157"/>
    <mergeCell ref="J155:K155"/>
    <mergeCell ref="A156:C156"/>
    <mergeCell ref="B147:G147"/>
    <mergeCell ref="I150:K150"/>
    <mergeCell ref="A151:C151"/>
    <mergeCell ref="F151:G151"/>
    <mergeCell ref="J152:L152"/>
    <mergeCell ref="A139:F139"/>
    <mergeCell ref="A140:F140"/>
    <mergeCell ref="A141:F141"/>
    <mergeCell ref="A142:F142"/>
    <mergeCell ref="A144:G144"/>
    <mergeCell ref="J126:L126"/>
    <mergeCell ref="A127:C127"/>
    <mergeCell ref="A128:C128"/>
    <mergeCell ref="A129:C129"/>
    <mergeCell ref="J129:K129"/>
    <mergeCell ref="A118:G118"/>
    <mergeCell ref="B121:G121"/>
    <mergeCell ref="I124:K124"/>
    <mergeCell ref="A125:C125"/>
    <mergeCell ref="F125:G125"/>
    <mergeCell ref="J99:L99"/>
    <mergeCell ref="A100:C100"/>
    <mergeCell ref="A101:C101"/>
    <mergeCell ref="A102:C102"/>
    <mergeCell ref="J102:K102"/>
    <mergeCell ref="A91:G91"/>
    <mergeCell ref="B94:G94"/>
    <mergeCell ref="I97:K97"/>
    <mergeCell ref="A98:C98"/>
    <mergeCell ref="F98:G98"/>
    <mergeCell ref="J72:L72"/>
    <mergeCell ref="A73:C73"/>
    <mergeCell ref="A74:C74"/>
    <mergeCell ref="A75:C75"/>
    <mergeCell ref="J75:K75"/>
    <mergeCell ref="A62:F62"/>
    <mergeCell ref="A64:G64"/>
    <mergeCell ref="B67:G67"/>
    <mergeCell ref="I70:K70"/>
    <mergeCell ref="A71:C71"/>
    <mergeCell ref="F71:G71"/>
    <mergeCell ref="J44:L44"/>
    <mergeCell ref="A45:C45"/>
    <mergeCell ref="A46:C46"/>
    <mergeCell ref="A47:C47"/>
    <mergeCell ref="J47:K47"/>
    <mergeCell ref="A36:G36"/>
    <mergeCell ref="B39:G39"/>
    <mergeCell ref="I42:K42"/>
    <mergeCell ref="A43:C43"/>
    <mergeCell ref="F43:G43"/>
    <mergeCell ref="A33:F33"/>
    <mergeCell ref="A28:F28"/>
    <mergeCell ref="A29:F29"/>
    <mergeCell ref="A23:C23"/>
    <mergeCell ref="A22:C22"/>
    <mergeCell ref="J12:L12"/>
    <mergeCell ref="A13:C13"/>
    <mergeCell ref="A14:C14"/>
    <mergeCell ref="A15:C15"/>
    <mergeCell ref="J15:K15"/>
    <mergeCell ref="A16:C16"/>
    <mergeCell ref="A17:C17"/>
    <mergeCell ref="A18:C18"/>
    <mergeCell ref="A19:C19"/>
    <mergeCell ref="A20:C20"/>
    <mergeCell ref="A21:C21"/>
    <mergeCell ref="A1:G1"/>
    <mergeCell ref="A4:G4"/>
    <mergeCell ref="B7:G7"/>
    <mergeCell ref="I10:K10"/>
    <mergeCell ref="A11:C11"/>
    <mergeCell ref="F11:G11"/>
    <mergeCell ref="A30:F30"/>
    <mergeCell ref="A31:F31"/>
    <mergeCell ref="A32:F3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ECC0-2E43-49A0-9309-99A491B28892}">
  <dimension ref="A2:G34"/>
  <sheetViews>
    <sheetView topLeftCell="A16" workbookViewId="0">
      <selection activeCell="A34" sqref="A34"/>
    </sheetView>
  </sheetViews>
  <sheetFormatPr baseColWidth="10" defaultRowHeight="12.75" x14ac:dyDescent="0.2"/>
  <cols>
    <col min="1" max="1" width="43.85546875" bestFit="1" customWidth="1"/>
    <col min="2" max="2" width="10.7109375" customWidth="1"/>
    <col min="3" max="3" width="12.85546875" customWidth="1"/>
    <col min="4" max="4" width="36.28515625" bestFit="1" customWidth="1"/>
    <col min="5" max="5" width="30.7109375" bestFit="1" customWidth="1"/>
    <col min="6" max="6" width="18.42578125" bestFit="1" customWidth="1"/>
    <col min="7" max="7" width="19.42578125" bestFit="1" customWidth="1"/>
  </cols>
  <sheetData>
    <row r="2" spans="1:7" ht="47.25" x14ac:dyDescent="0.2">
      <c r="A2" s="155" t="s">
        <v>434</v>
      </c>
      <c r="B2" s="158" t="s">
        <v>435</v>
      </c>
      <c r="C2" s="170" t="s">
        <v>429</v>
      </c>
      <c r="D2" s="107" t="s">
        <v>430</v>
      </c>
      <c r="E2" s="171" t="s">
        <v>433</v>
      </c>
      <c r="F2" s="107" t="s">
        <v>441</v>
      </c>
      <c r="G2" s="187" t="s">
        <v>227</v>
      </c>
    </row>
    <row r="3" spans="1:7" ht="30" x14ac:dyDescent="0.2">
      <c r="A3" s="162" t="s">
        <v>443</v>
      </c>
      <c r="B3" s="156">
        <v>21900</v>
      </c>
      <c r="C3" s="165">
        <v>0.5</v>
      </c>
      <c r="D3" s="173" t="s">
        <v>431</v>
      </c>
      <c r="E3" s="167" t="s">
        <v>444</v>
      </c>
      <c r="F3" s="161" t="s">
        <v>480</v>
      </c>
      <c r="G3" s="126" t="s">
        <v>475</v>
      </c>
    </row>
    <row r="4" spans="1:7" ht="30" x14ac:dyDescent="0.2">
      <c r="A4" s="164" t="s">
        <v>437</v>
      </c>
      <c r="B4" s="156">
        <v>22900</v>
      </c>
      <c r="C4" s="165">
        <v>0.51</v>
      </c>
      <c r="D4" s="173" t="s">
        <v>432</v>
      </c>
      <c r="E4" s="167" t="s">
        <v>445</v>
      </c>
      <c r="F4" s="161" t="s">
        <v>473</v>
      </c>
      <c r="G4" s="126" t="s">
        <v>476</v>
      </c>
    </row>
    <row r="5" spans="1:7" ht="30" x14ac:dyDescent="0.2">
      <c r="A5" s="162" t="s">
        <v>438</v>
      </c>
      <c r="B5" s="156">
        <v>24900</v>
      </c>
      <c r="C5" s="165">
        <v>0.51</v>
      </c>
      <c r="D5" s="172" t="s">
        <v>477</v>
      </c>
      <c r="E5" s="167" t="s">
        <v>446</v>
      </c>
      <c r="F5" s="161" t="s">
        <v>479</v>
      </c>
    </row>
    <row r="6" spans="1:7" ht="30" x14ac:dyDescent="0.2">
      <c r="A6" s="164" t="s">
        <v>439</v>
      </c>
      <c r="B6" s="159">
        <v>25900</v>
      </c>
      <c r="C6" s="174">
        <v>0.52</v>
      </c>
      <c r="D6" s="163" t="s">
        <v>436</v>
      </c>
      <c r="E6" s="168"/>
      <c r="F6" s="157" t="s">
        <v>474</v>
      </c>
    </row>
    <row r="7" spans="1:7" ht="15.75" x14ac:dyDescent="0.2">
      <c r="A7" s="164" t="s">
        <v>440</v>
      </c>
      <c r="B7" s="159">
        <v>25900</v>
      </c>
      <c r="C7" s="166">
        <v>0.52</v>
      </c>
      <c r="D7" s="160"/>
      <c r="E7" s="169"/>
      <c r="F7" s="157"/>
    </row>
    <row r="8" spans="1:7" ht="14.25" customHeight="1" x14ac:dyDescent="0.2">
      <c r="A8" s="154"/>
      <c r="B8" s="398" t="s">
        <v>442</v>
      </c>
      <c r="C8" s="399"/>
      <c r="D8" s="399"/>
      <c r="E8" s="399"/>
      <c r="F8" s="400"/>
      <c r="G8" t="s">
        <v>478</v>
      </c>
    </row>
    <row r="11" spans="1:7" x14ac:dyDescent="0.2">
      <c r="A11" t="s">
        <v>481</v>
      </c>
    </row>
    <row r="12" spans="1:7" x14ac:dyDescent="0.2">
      <c r="A12" t="s">
        <v>482</v>
      </c>
    </row>
    <row r="13" spans="1:7" x14ac:dyDescent="0.2">
      <c r="A13" t="s">
        <v>483</v>
      </c>
    </row>
    <row r="14" spans="1:7" x14ac:dyDescent="0.2">
      <c r="A14" t="s">
        <v>484</v>
      </c>
    </row>
    <row r="16" spans="1:7" ht="47.25" x14ac:dyDescent="0.2">
      <c r="A16" s="155" t="s">
        <v>434</v>
      </c>
      <c r="B16" s="158" t="s">
        <v>435</v>
      </c>
      <c r="C16" s="170" t="s">
        <v>429</v>
      </c>
      <c r="D16" s="107" t="s">
        <v>430</v>
      </c>
      <c r="E16" s="171" t="s">
        <v>575</v>
      </c>
      <c r="F16" s="107" t="s">
        <v>577</v>
      </c>
    </row>
    <row r="17" spans="1:6" ht="15" x14ac:dyDescent="0.2">
      <c r="A17" s="162" t="s">
        <v>443</v>
      </c>
      <c r="B17" s="156">
        <v>21900</v>
      </c>
      <c r="C17" s="165">
        <v>0.5</v>
      </c>
      <c r="D17" s="173" t="s">
        <v>431</v>
      </c>
      <c r="E17" s="167" t="s">
        <v>574</v>
      </c>
      <c r="F17" s="289"/>
    </row>
    <row r="18" spans="1:6" ht="15" x14ac:dyDescent="0.2">
      <c r="A18" s="164" t="s">
        <v>437</v>
      </c>
      <c r="B18" s="156">
        <v>22900</v>
      </c>
      <c r="C18" s="165">
        <v>0.51</v>
      </c>
      <c r="D18" s="173" t="s">
        <v>432</v>
      </c>
      <c r="E18" s="167" t="s">
        <v>574</v>
      </c>
      <c r="F18" s="289"/>
    </row>
    <row r="19" spans="1:6" ht="15" x14ac:dyDescent="0.2">
      <c r="A19" s="162" t="s">
        <v>438</v>
      </c>
      <c r="B19" s="156">
        <v>24900</v>
      </c>
      <c r="C19" s="165">
        <v>0.51</v>
      </c>
      <c r="D19" s="173"/>
      <c r="E19" s="167" t="s">
        <v>574</v>
      </c>
      <c r="F19" s="289"/>
    </row>
    <row r="20" spans="1:6" ht="15" x14ac:dyDescent="0.2">
      <c r="A20" s="164" t="s">
        <v>439</v>
      </c>
      <c r="B20" s="159">
        <v>25900</v>
      </c>
      <c r="C20" s="174">
        <v>0.52</v>
      </c>
      <c r="D20" s="163"/>
      <c r="E20" s="167" t="s">
        <v>574</v>
      </c>
      <c r="F20" s="289"/>
    </row>
    <row r="21" spans="1:6" ht="15.75" x14ac:dyDescent="0.2">
      <c r="A21" s="164" t="s">
        <v>440</v>
      </c>
      <c r="B21" s="159">
        <v>25900</v>
      </c>
      <c r="C21" s="166">
        <v>0.52</v>
      </c>
      <c r="D21" s="160"/>
      <c r="E21" s="167" t="s">
        <v>574</v>
      </c>
      <c r="F21" s="289"/>
    </row>
    <row r="22" spans="1:6" ht="15" customHeight="1" x14ac:dyDescent="0.2">
      <c r="A22" s="154"/>
      <c r="B22" s="401" t="s">
        <v>576</v>
      </c>
      <c r="C22" s="401"/>
      <c r="D22" s="401"/>
      <c r="E22" s="401"/>
      <c r="F22" s="401"/>
    </row>
    <row r="25" spans="1:6" x14ac:dyDescent="0.2">
      <c r="A25" s="280" t="s">
        <v>735</v>
      </c>
    </row>
    <row r="26" spans="1:6" x14ac:dyDescent="0.2">
      <c r="A26" s="280" t="s">
        <v>736</v>
      </c>
    </row>
    <row r="27" spans="1:6" x14ac:dyDescent="0.2">
      <c r="A27" s="280" t="s">
        <v>737</v>
      </c>
    </row>
    <row r="28" spans="1:6" x14ac:dyDescent="0.2">
      <c r="A28" s="280" t="s">
        <v>228</v>
      </c>
    </row>
    <row r="30" spans="1:6" x14ac:dyDescent="0.2">
      <c r="A30" s="280" t="s">
        <v>738</v>
      </c>
    </row>
    <row r="31" spans="1:6" x14ac:dyDescent="0.2">
      <c r="A31" s="280" t="s">
        <v>739</v>
      </c>
    </row>
    <row r="32" spans="1:6" x14ac:dyDescent="0.2">
      <c r="A32" s="280" t="s">
        <v>740</v>
      </c>
    </row>
    <row r="33" spans="1:1" x14ac:dyDescent="0.2">
      <c r="A33" s="280" t="s">
        <v>741</v>
      </c>
    </row>
    <row r="34" spans="1:1" x14ac:dyDescent="0.2">
      <c r="A34" s="280" t="s">
        <v>742</v>
      </c>
    </row>
  </sheetData>
  <mergeCells count="2">
    <mergeCell ref="B8:F8"/>
    <mergeCell ref="B22:F22"/>
  </mergeCells>
  <pageMargins left="0.7" right="0.7" top="0.75" bottom="0.75" header="0.3" footer="0.3"/>
  <pageSetup paperSize="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A1FF-E7BF-4515-82A7-D8C025EAD702}">
  <dimension ref="A3:L30"/>
  <sheetViews>
    <sheetView topLeftCell="A9" workbookViewId="0">
      <selection activeCell="F12" sqref="F12"/>
    </sheetView>
  </sheetViews>
  <sheetFormatPr baseColWidth="10" defaultRowHeight="12.75" x14ac:dyDescent="0.2"/>
  <cols>
    <col min="9" max="9" width="14.7109375" bestFit="1" customWidth="1"/>
  </cols>
  <sheetData>
    <row r="3" spans="1:12" ht="15.75" x14ac:dyDescent="0.25">
      <c r="A3" s="366" t="s">
        <v>0</v>
      </c>
      <c r="B3" s="367"/>
      <c r="C3" s="367"/>
      <c r="D3" s="367"/>
      <c r="E3" s="367"/>
      <c r="F3" s="367"/>
      <c r="G3" s="367"/>
      <c r="H3" s="2"/>
      <c r="I3" s="2"/>
      <c r="J3" s="2"/>
      <c r="K3" s="2"/>
      <c r="L3" s="2"/>
    </row>
    <row r="4" spans="1:12" ht="15.75" x14ac:dyDescent="0.25">
      <c r="A4" s="1"/>
      <c r="B4" s="1"/>
      <c r="C4" s="1"/>
      <c r="D4" s="1"/>
      <c r="E4" s="1"/>
      <c r="F4" s="1"/>
      <c r="G4" s="3"/>
      <c r="H4" s="2"/>
      <c r="I4" s="2"/>
      <c r="J4" s="2"/>
      <c r="K4" s="2"/>
      <c r="L4" s="2"/>
    </row>
    <row r="5" spans="1:12" ht="15.75" x14ac:dyDescent="0.2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</row>
    <row r="6" spans="1:12" ht="15.75" x14ac:dyDescent="0.25">
      <c r="A6" s="2" t="s">
        <v>1</v>
      </c>
      <c r="B6" s="404" t="s">
        <v>490</v>
      </c>
      <c r="C6" s="369"/>
      <c r="D6" s="369"/>
      <c r="E6" s="369"/>
      <c r="F6" s="369"/>
      <c r="G6" s="369"/>
      <c r="H6" s="2"/>
      <c r="I6" s="2"/>
      <c r="J6" s="2"/>
      <c r="K6" s="2"/>
      <c r="L6" s="2"/>
    </row>
    <row r="7" spans="1:12" ht="15.7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6.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6.5" thickBot="1" x14ac:dyDescent="0.3">
      <c r="A9" s="4"/>
      <c r="B9" s="5"/>
      <c r="C9" s="6"/>
      <c r="D9" s="7"/>
      <c r="E9" s="7"/>
      <c r="F9" s="8" t="s">
        <v>2</v>
      </c>
      <c r="G9" s="9"/>
      <c r="H9" s="2"/>
      <c r="I9" s="370"/>
      <c r="J9" s="367"/>
      <c r="K9" s="367"/>
      <c r="L9" s="2"/>
    </row>
    <row r="10" spans="1:12" ht="16.5" thickBot="1" x14ac:dyDescent="0.3">
      <c r="A10" s="371" t="s">
        <v>3</v>
      </c>
      <c r="B10" s="367"/>
      <c r="C10" s="372"/>
      <c r="D10" s="10" t="s">
        <v>4</v>
      </c>
      <c r="E10" s="10" t="s">
        <v>5</v>
      </c>
      <c r="F10" s="373" t="s">
        <v>6</v>
      </c>
      <c r="G10" s="374"/>
      <c r="H10" s="2"/>
      <c r="I10" s="2"/>
      <c r="J10" s="2"/>
      <c r="K10" s="2"/>
      <c r="L10" s="2"/>
    </row>
    <row r="11" spans="1:12" ht="16.5" thickBot="1" x14ac:dyDescent="0.3">
      <c r="A11" s="11"/>
      <c r="B11" s="2"/>
      <c r="C11" s="12"/>
      <c r="D11" s="13"/>
      <c r="E11" s="13"/>
      <c r="F11" s="4" t="s">
        <v>7</v>
      </c>
      <c r="G11" s="14" t="s">
        <v>8</v>
      </c>
      <c r="H11" s="4" t="s">
        <v>9</v>
      </c>
      <c r="I11" s="4" t="s">
        <v>10</v>
      </c>
      <c r="J11" s="375" t="s">
        <v>11</v>
      </c>
      <c r="K11" s="376"/>
      <c r="L11" s="374"/>
    </row>
    <row r="12" spans="1:12" ht="15.75" x14ac:dyDescent="0.25">
      <c r="A12" s="377" t="s">
        <v>491</v>
      </c>
      <c r="B12" s="378"/>
      <c r="C12" s="379"/>
      <c r="D12" s="15">
        <v>1</v>
      </c>
      <c r="E12" s="190" t="s">
        <v>492</v>
      </c>
      <c r="F12" s="17">
        <v>780</v>
      </c>
      <c r="G12" s="18">
        <f>D12*F12</f>
        <v>780</v>
      </c>
      <c r="H12" s="19">
        <f>D12*L12</f>
        <v>1</v>
      </c>
      <c r="I12" s="20">
        <f t="shared" ref="I12:I20" si="0">F12*H12</f>
        <v>780</v>
      </c>
      <c r="J12" s="21" t="s">
        <v>13</v>
      </c>
      <c r="K12" s="22"/>
      <c r="L12" s="23">
        <v>1</v>
      </c>
    </row>
    <row r="13" spans="1:12" ht="15.75" x14ac:dyDescent="0.25">
      <c r="A13" s="402" t="s">
        <v>493</v>
      </c>
      <c r="B13" s="364"/>
      <c r="C13" s="365"/>
      <c r="D13" s="24">
        <v>120</v>
      </c>
      <c r="E13" s="25" t="s">
        <v>12</v>
      </c>
      <c r="F13" s="26">
        <v>20.5</v>
      </c>
      <c r="G13" s="27">
        <f t="shared" ref="G13:G20" si="1">D13*F13</f>
        <v>2460</v>
      </c>
      <c r="H13" s="28">
        <f>D13*L12</f>
        <v>120</v>
      </c>
      <c r="I13" s="29">
        <f t="shared" si="0"/>
        <v>2460</v>
      </c>
      <c r="J13" s="30" t="s">
        <v>14</v>
      </c>
      <c r="K13" s="31"/>
      <c r="L13" s="32">
        <f>SUM(I12:I20)</f>
        <v>6463.7999999999993</v>
      </c>
    </row>
    <row r="14" spans="1:12" ht="15.75" x14ac:dyDescent="0.25">
      <c r="A14" s="402" t="s">
        <v>494</v>
      </c>
      <c r="B14" s="364"/>
      <c r="C14" s="365"/>
      <c r="D14" s="24">
        <v>25</v>
      </c>
      <c r="E14" s="25" t="s">
        <v>12</v>
      </c>
      <c r="F14" s="26">
        <v>19.2</v>
      </c>
      <c r="G14" s="27">
        <f t="shared" si="1"/>
        <v>480</v>
      </c>
      <c r="H14" s="28">
        <f>D14*L12</f>
        <v>25</v>
      </c>
      <c r="I14" s="29">
        <f t="shared" si="0"/>
        <v>480</v>
      </c>
      <c r="J14" s="380" t="s">
        <v>15</v>
      </c>
      <c r="K14" s="381"/>
      <c r="L14" s="34">
        <f>G26*L12</f>
        <v>28000</v>
      </c>
    </row>
    <row r="15" spans="1:12" ht="15.75" x14ac:dyDescent="0.25">
      <c r="A15" s="402" t="s">
        <v>495</v>
      </c>
      <c r="B15" s="364"/>
      <c r="C15" s="365"/>
      <c r="D15" s="24">
        <v>15</v>
      </c>
      <c r="E15" s="25" t="s">
        <v>12</v>
      </c>
      <c r="F15" s="26">
        <v>17</v>
      </c>
      <c r="G15" s="27">
        <f t="shared" si="1"/>
        <v>255</v>
      </c>
      <c r="H15" s="28">
        <f>D15*L12</f>
        <v>15</v>
      </c>
      <c r="I15" s="29">
        <f t="shared" si="0"/>
        <v>255</v>
      </c>
      <c r="J15" s="2"/>
      <c r="K15" s="2"/>
      <c r="L15" s="2"/>
    </row>
    <row r="16" spans="1:12" ht="15.75" x14ac:dyDescent="0.25">
      <c r="A16" s="402" t="s">
        <v>496</v>
      </c>
      <c r="B16" s="364"/>
      <c r="C16" s="365"/>
      <c r="D16" s="24">
        <v>20</v>
      </c>
      <c r="E16" s="25" t="s">
        <v>59</v>
      </c>
      <c r="F16" s="26">
        <v>7.5</v>
      </c>
      <c r="G16" s="27">
        <f t="shared" si="1"/>
        <v>150</v>
      </c>
      <c r="H16" s="28">
        <f>D16*L12</f>
        <v>20</v>
      </c>
      <c r="I16" s="29">
        <f t="shared" si="0"/>
        <v>150</v>
      </c>
      <c r="J16" s="2"/>
      <c r="K16" s="2"/>
      <c r="L16" s="2"/>
    </row>
    <row r="17" spans="1:12" ht="15.75" x14ac:dyDescent="0.25">
      <c r="A17" s="402" t="s">
        <v>497</v>
      </c>
      <c r="B17" s="364"/>
      <c r="C17" s="365"/>
      <c r="D17" s="24">
        <v>20</v>
      </c>
      <c r="E17" s="67" t="s">
        <v>59</v>
      </c>
      <c r="F17" s="26">
        <v>3.9</v>
      </c>
      <c r="G17" s="27">
        <f t="shared" si="1"/>
        <v>78</v>
      </c>
      <c r="H17" s="28">
        <f>D17*L12</f>
        <v>20</v>
      </c>
      <c r="I17" s="29">
        <f t="shared" si="0"/>
        <v>78</v>
      </c>
      <c r="J17" s="2"/>
      <c r="K17" s="2"/>
      <c r="L17" s="2"/>
    </row>
    <row r="18" spans="1:12" ht="15.75" x14ac:dyDescent="0.25">
      <c r="A18" s="403" t="s">
        <v>498</v>
      </c>
      <c r="B18" s="364"/>
      <c r="C18" s="365"/>
      <c r="D18" s="35">
        <v>40</v>
      </c>
      <c r="E18" s="191" t="s">
        <v>59</v>
      </c>
      <c r="F18" s="37">
        <v>28.26</v>
      </c>
      <c r="G18" s="27">
        <f t="shared" si="1"/>
        <v>1130.4000000000001</v>
      </c>
      <c r="H18" s="28">
        <f>D18*L12</f>
        <v>40</v>
      </c>
      <c r="I18" s="29">
        <f t="shared" si="0"/>
        <v>1130.4000000000001</v>
      </c>
      <c r="J18" s="2"/>
      <c r="K18" s="2"/>
      <c r="L18" s="2"/>
    </row>
    <row r="19" spans="1:12" ht="15.75" x14ac:dyDescent="0.25">
      <c r="A19" s="403" t="s">
        <v>499</v>
      </c>
      <c r="B19" s="364"/>
      <c r="C19" s="365"/>
      <c r="D19" s="35">
        <v>40</v>
      </c>
      <c r="E19" s="191" t="s">
        <v>59</v>
      </c>
      <c r="F19" s="37">
        <v>28.26</v>
      </c>
      <c r="G19" s="27">
        <f t="shared" si="1"/>
        <v>1130.4000000000001</v>
      </c>
      <c r="H19" s="28">
        <f>D19*L12</f>
        <v>40</v>
      </c>
      <c r="I19" s="29">
        <f t="shared" si="0"/>
        <v>1130.4000000000001</v>
      </c>
      <c r="J19" s="2"/>
      <c r="K19" s="2"/>
      <c r="L19" s="2"/>
    </row>
    <row r="20" spans="1:12" ht="16.5" thickBot="1" x14ac:dyDescent="0.3">
      <c r="A20" s="390"/>
      <c r="B20" s="364"/>
      <c r="C20" s="365"/>
      <c r="D20" s="38"/>
      <c r="E20" s="36"/>
      <c r="F20" s="39"/>
      <c r="G20" s="27">
        <f t="shared" si="1"/>
        <v>0</v>
      </c>
      <c r="H20" s="28">
        <f>D20*L12</f>
        <v>0</v>
      </c>
      <c r="I20" s="29">
        <f t="shared" si="0"/>
        <v>0</v>
      </c>
      <c r="J20" s="2"/>
      <c r="K20" s="2"/>
      <c r="L20" s="2"/>
    </row>
    <row r="21" spans="1:12" ht="15.75" x14ac:dyDescent="0.25">
      <c r="A21" s="50" t="s">
        <v>16</v>
      </c>
      <c r="B21" s="51"/>
      <c r="C21" s="51"/>
      <c r="D21" s="52"/>
      <c r="E21" s="52"/>
      <c r="F21" s="53"/>
      <c r="G21" s="20">
        <f>SUM(G12:G20)</f>
        <v>6463.7999999999993</v>
      </c>
      <c r="H21" s="2"/>
      <c r="I21" s="2"/>
      <c r="J21" s="2"/>
      <c r="K21" s="2"/>
      <c r="L21" s="2"/>
    </row>
    <row r="22" spans="1:12" ht="15.75" x14ac:dyDescent="0.25">
      <c r="A22" s="54" t="s">
        <v>17</v>
      </c>
      <c r="B22" s="55"/>
      <c r="C22" s="55"/>
      <c r="D22" s="56"/>
      <c r="E22" s="56"/>
      <c r="F22" s="57"/>
      <c r="G22" s="29">
        <f>G21*0.1</f>
        <v>646.38</v>
      </c>
      <c r="H22" s="2"/>
      <c r="I22" s="2"/>
      <c r="J22" s="2"/>
      <c r="K22" s="2"/>
      <c r="L22" s="2"/>
    </row>
    <row r="23" spans="1:12" ht="16.5" thickBot="1" x14ac:dyDescent="0.3">
      <c r="A23" s="54" t="s">
        <v>18</v>
      </c>
      <c r="B23" s="55"/>
      <c r="C23" s="55"/>
      <c r="D23" s="56"/>
      <c r="E23" s="56"/>
      <c r="F23" s="58"/>
      <c r="G23" s="29">
        <f>SUM(G21:G22)</f>
        <v>7110.1799999999994</v>
      </c>
      <c r="H23" s="140"/>
      <c r="I23" s="142"/>
      <c r="J23" s="143"/>
      <c r="K23" s="2"/>
      <c r="L23" s="2"/>
    </row>
    <row r="24" spans="1:12" ht="15.75" x14ac:dyDescent="0.25">
      <c r="A24" s="59" t="s">
        <v>19</v>
      </c>
      <c r="B24" s="33"/>
      <c r="C24" s="33"/>
      <c r="D24" s="60"/>
      <c r="E24" s="60"/>
      <c r="F24" s="61">
        <v>1</v>
      </c>
      <c r="G24" s="27">
        <f>G23/F24</f>
        <v>7110.1799999999994</v>
      </c>
      <c r="H24" s="140">
        <f>G24*2</f>
        <v>14220.359999999999</v>
      </c>
      <c r="I24" s="142">
        <v>30000</v>
      </c>
      <c r="J24" s="143">
        <f>H24/I24</f>
        <v>0.47401199999999993</v>
      </c>
      <c r="K24" s="287">
        <f>I24-H24</f>
        <v>15779.640000000001</v>
      </c>
      <c r="L24" s="2"/>
    </row>
    <row r="25" spans="1:12" ht="15.75" x14ac:dyDescent="0.25">
      <c r="A25" s="382" t="s">
        <v>20</v>
      </c>
      <c r="B25" s="364"/>
      <c r="C25" s="364"/>
      <c r="D25" s="364"/>
      <c r="E25" s="364"/>
      <c r="F25" s="365"/>
      <c r="G25" s="62">
        <f>G24/G26</f>
        <v>0.25393499999999997</v>
      </c>
      <c r="H25" s="2"/>
      <c r="I25" s="2"/>
      <c r="J25" s="2"/>
      <c r="K25" s="2"/>
      <c r="L25" s="2"/>
    </row>
    <row r="26" spans="1:12" ht="15.75" x14ac:dyDescent="0.25">
      <c r="A26" s="382" t="s">
        <v>21</v>
      </c>
      <c r="B26" s="364"/>
      <c r="C26" s="364"/>
      <c r="D26" s="364"/>
      <c r="E26" s="364"/>
      <c r="F26" s="365"/>
      <c r="G26" s="29">
        <v>28000</v>
      </c>
      <c r="H26" s="2"/>
      <c r="I26" s="2"/>
      <c r="J26" s="2"/>
      <c r="K26" s="2"/>
      <c r="L26" s="2"/>
    </row>
    <row r="27" spans="1:12" ht="15.75" x14ac:dyDescent="0.25">
      <c r="A27" s="382" t="s">
        <v>22</v>
      </c>
      <c r="B27" s="364"/>
      <c r="C27" s="364"/>
      <c r="D27" s="364"/>
      <c r="E27" s="364"/>
      <c r="F27" s="365"/>
      <c r="G27" s="29">
        <f>G26*0.08</f>
        <v>2240</v>
      </c>
      <c r="H27" s="2"/>
      <c r="I27" s="2"/>
      <c r="J27" s="2"/>
      <c r="K27" s="2"/>
      <c r="L27" s="2"/>
    </row>
    <row r="28" spans="1:12" ht="15.75" x14ac:dyDescent="0.25">
      <c r="A28" s="382" t="s">
        <v>23</v>
      </c>
      <c r="B28" s="364"/>
      <c r="C28" s="364"/>
      <c r="D28" s="364"/>
      <c r="E28" s="364"/>
      <c r="F28" s="365"/>
      <c r="G28" s="29">
        <f>G27+G26</f>
        <v>30240</v>
      </c>
      <c r="H28" s="2"/>
      <c r="I28" s="2"/>
      <c r="J28" s="2"/>
      <c r="K28" s="2"/>
      <c r="L28" s="2"/>
    </row>
    <row r="29" spans="1:12" ht="15.75" x14ac:dyDescent="0.25">
      <c r="A29" s="382" t="s">
        <v>24</v>
      </c>
      <c r="B29" s="364"/>
      <c r="C29" s="364"/>
      <c r="D29" s="364"/>
      <c r="E29" s="364"/>
      <c r="F29" s="365"/>
      <c r="G29" s="29">
        <f>G28</f>
        <v>30240</v>
      </c>
      <c r="H29" s="2"/>
      <c r="I29" s="2"/>
      <c r="J29" s="2"/>
      <c r="K29" s="2"/>
      <c r="L29" s="2"/>
    </row>
    <row r="30" spans="1:12" ht="16.5" thickBot="1" x14ac:dyDescent="0.3">
      <c r="A30" s="383" t="s">
        <v>25</v>
      </c>
      <c r="B30" s="384"/>
      <c r="C30" s="384"/>
      <c r="D30" s="384"/>
      <c r="E30" s="384"/>
      <c r="F30" s="385"/>
      <c r="G30" s="63">
        <f>(G24+G27)/G29</f>
        <v>0.3091990740740741</v>
      </c>
      <c r="H30" s="2"/>
      <c r="I30" s="2"/>
      <c r="J30" s="2"/>
      <c r="K30" s="2"/>
      <c r="L30" s="2"/>
    </row>
  </sheetData>
  <mergeCells count="22">
    <mergeCell ref="A16:C16"/>
    <mergeCell ref="A3:G3"/>
    <mergeCell ref="B6:G6"/>
    <mergeCell ref="I9:K9"/>
    <mergeCell ref="A10:C10"/>
    <mergeCell ref="F10:G10"/>
    <mergeCell ref="J11:L11"/>
    <mergeCell ref="A12:C12"/>
    <mergeCell ref="A13:C13"/>
    <mergeCell ref="A14:C14"/>
    <mergeCell ref="J14:K14"/>
    <mergeCell ref="A15:C15"/>
    <mergeCell ref="A27:F27"/>
    <mergeCell ref="A28:F28"/>
    <mergeCell ref="A29:F29"/>
    <mergeCell ref="A30:F30"/>
    <mergeCell ref="A17:C17"/>
    <mergeCell ref="A18:C18"/>
    <mergeCell ref="A19:C19"/>
    <mergeCell ref="A20:C20"/>
    <mergeCell ref="A25:F25"/>
    <mergeCell ref="A26:F2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BC6C-A372-4D53-B70F-993AD89D06AA}">
  <dimension ref="A2:L86"/>
  <sheetViews>
    <sheetView topLeftCell="A61" workbookViewId="0">
      <selection activeCell="H79" sqref="H79"/>
    </sheetView>
  </sheetViews>
  <sheetFormatPr baseColWidth="10" defaultRowHeight="12.75" x14ac:dyDescent="0.2"/>
  <sheetData>
    <row r="2" spans="1:12" ht="15.75" x14ac:dyDescent="0.25">
      <c r="A2" s="366" t="s">
        <v>0</v>
      </c>
      <c r="B2" s="367"/>
      <c r="C2" s="367"/>
      <c r="D2" s="367"/>
      <c r="E2" s="367"/>
      <c r="F2" s="367"/>
      <c r="G2" s="367"/>
      <c r="H2" s="2"/>
      <c r="I2" s="2"/>
      <c r="J2" s="2"/>
      <c r="K2" s="2"/>
      <c r="L2" s="2"/>
    </row>
    <row r="3" spans="1:12" ht="15.75" x14ac:dyDescent="0.25">
      <c r="A3" s="1"/>
      <c r="B3" s="1"/>
      <c r="C3" s="1"/>
      <c r="D3" s="1"/>
      <c r="E3" s="1"/>
      <c r="F3" s="1"/>
      <c r="G3" s="3"/>
      <c r="H3" s="2"/>
      <c r="I3" s="2"/>
      <c r="J3" s="2"/>
      <c r="K3" s="2"/>
      <c r="L3" s="2"/>
    </row>
    <row r="4" spans="1:12" ht="15.75" x14ac:dyDescent="0.25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</row>
    <row r="5" spans="1:12" ht="15.75" x14ac:dyDescent="0.25">
      <c r="A5" s="2" t="s">
        <v>1</v>
      </c>
      <c r="B5" s="368" t="s">
        <v>406</v>
      </c>
      <c r="C5" s="369"/>
      <c r="D5" s="369"/>
      <c r="E5" s="369"/>
      <c r="F5" s="369"/>
      <c r="G5" s="369"/>
      <c r="H5" s="2"/>
      <c r="I5" s="2"/>
      <c r="J5" s="2"/>
      <c r="K5" s="2"/>
      <c r="L5" s="2"/>
    </row>
    <row r="6" spans="1:12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6.5" thickBo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6.5" thickBot="1" x14ac:dyDescent="0.3">
      <c r="A8" s="4"/>
      <c r="B8" s="5"/>
      <c r="C8" s="6"/>
      <c r="D8" s="7"/>
      <c r="E8" s="7"/>
      <c r="F8" s="8" t="s">
        <v>2</v>
      </c>
      <c r="G8" s="9"/>
      <c r="H8" s="2"/>
      <c r="I8" s="370"/>
      <c r="J8" s="367"/>
      <c r="K8" s="367"/>
      <c r="L8" s="2"/>
    </row>
    <row r="9" spans="1:12" ht="16.5" thickBot="1" x14ac:dyDescent="0.3">
      <c r="A9" s="371" t="s">
        <v>3</v>
      </c>
      <c r="B9" s="367"/>
      <c r="C9" s="372"/>
      <c r="D9" s="10" t="s">
        <v>4</v>
      </c>
      <c r="E9" s="10" t="s">
        <v>5</v>
      </c>
      <c r="F9" s="373" t="s">
        <v>6</v>
      </c>
      <c r="G9" s="374"/>
      <c r="H9" s="2"/>
      <c r="I9" s="2"/>
      <c r="J9" s="2"/>
      <c r="K9" s="2"/>
      <c r="L9" s="2"/>
    </row>
    <row r="10" spans="1:12" ht="16.5" thickBot="1" x14ac:dyDescent="0.3">
      <c r="A10" s="11"/>
      <c r="B10" s="2"/>
      <c r="C10" s="12"/>
      <c r="D10" s="13"/>
      <c r="E10" s="13"/>
      <c r="F10" s="4" t="s">
        <v>7</v>
      </c>
      <c r="G10" s="14" t="s">
        <v>8</v>
      </c>
      <c r="H10" s="4" t="s">
        <v>9</v>
      </c>
      <c r="I10" s="4" t="s">
        <v>10</v>
      </c>
      <c r="J10" s="375" t="s">
        <v>11</v>
      </c>
      <c r="K10" s="376"/>
      <c r="L10" s="374"/>
    </row>
    <row r="11" spans="1:12" ht="15.75" x14ac:dyDescent="0.25">
      <c r="A11" s="386" t="s">
        <v>104</v>
      </c>
      <c r="B11" s="378"/>
      <c r="C11" s="379"/>
      <c r="D11" s="15">
        <v>200</v>
      </c>
      <c r="E11" s="16" t="s">
        <v>12</v>
      </c>
      <c r="F11" s="17">
        <v>4.0999999999999996</v>
      </c>
      <c r="G11" s="18">
        <f t="shared" ref="G11:G20" si="0">D11*F11</f>
        <v>819.99999999999989</v>
      </c>
      <c r="H11" s="19">
        <f>D11*L11</f>
        <v>200</v>
      </c>
      <c r="I11" s="20">
        <f t="shared" ref="I11:I20" si="1">F11*H11</f>
        <v>819.99999999999989</v>
      </c>
      <c r="J11" s="21" t="s">
        <v>13</v>
      </c>
      <c r="K11" s="22"/>
      <c r="L11" s="23">
        <v>1</v>
      </c>
    </row>
    <row r="12" spans="1:12" ht="15.75" x14ac:dyDescent="0.25">
      <c r="A12" s="363" t="s">
        <v>64</v>
      </c>
      <c r="B12" s="364"/>
      <c r="C12" s="365"/>
      <c r="D12" s="24">
        <v>250</v>
      </c>
      <c r="E12" s="25" t="s">
        <v>12</v>
      </c>
      <c r="F12" s="26">
        <v>3.9</v>
      </c>
      <c r="G12" s="27">
        <f t="shared" si="0"/>
        <v>975</v>
      </c>
      <c r="H12" s="28">
        <f>D12*L11</f>
        <v>250</v>
      </c>
      <c r="I12" s="29">
        <f t="shared" si="1"/>
        <v>975</v>
      </c>
      <c r="J12" s="30" t="s">
        <v>14</v>
      </c>
      <c r="K12" s="31"/>
      <c r="L12" s="32">
        <f>SUM(I11:I20)</f>
        <v>10114.6</v>
      </c>
    </row>
    <row r="13" spans="1:12" ht="15.75" x14ac:dyDescent="0.25">
      <c r="A13" s="363" t="s">
        <v>407</v>
      </c>
      <c r="B13" s="364"/>
      <c r="C13" s="365"/>
      <c r="D13" s="24">
        <v>180</v>
      </c>
      <c r="E13" s="25" t="s">
        <v>12</v>
      </c>
      <c r="F13" s="26">
        <v>7.46</v>
      </c>
      <c r="G13" s="27">
        <f t="shared" si="0"/>
        <v>1342.8</v>
      </c>
      <c r="H13" s="28">
        <f>D13*L11</f>
        <v>180</v>
      </c>
      <c r="I13" s="29">
        <f t="shared" si="1"/>
        <v>1342.8</v>
      </c>
      <c r="J13" s="380" t="s">
        <v>15</v>
      </c>
      <c r="K13" s="381"/>
      <c r="L13" s="34">
        <f>G26*L11</f>
        <v>0</v>
      </c>
    </row>
    <row r="14" spans="1:12" ht="15.75" x14ac:dyDescent="0.25">
      <c r="A14" s="363" t="s">
        <v>408</v>
      </c>
      <c r="B14" s="364"/>
      <c r="C14" s="365"/>
      <c r="D14" s="24">
        <v>260</v>
      </c>
      <c r="E14" s="25" t="s">
        <v>12</v>
      </c>
      <c r="F14" s="26">
        <v>2.68</v>
      </c>
      <c r="G14" s="27">
        <f t="shared" si="0"/>
        <v>696.80000000000007</v>
      </c>
      <c r="H14" s="28">
        <f>D14*L11</f>
        <v>260</v>
      </c>
      <c r="I14" s="29">
        <f t="shared" si="1"/>
        <v>696.80000000000007</v>
      </c>
      <c r="J14" s="2"/>
      <c r="K14" s="2"/>
      <c r="L14" s="2"/>
    </row>
    <row r="15" spans="1:12" ht="15.75" x14ac:dyDescent="0.25">
      <c r="A15" s="363" t="s">
        <v>409</v>
      </c>
      <c r="B15" s="364"/>
      <c r="C15" s="365"/>
      <c r="D15" s="24">
        <v>500</v>
      </c>
      <c r="E15" s="25" t="s">
        <v>59</v>
      </c>
      <c r="F15" s="26">
        <v>3.5</v>
      </c>
      <c r="G15" s="27">
        <f t="shared" si="0"/>
        <v>1750</v>
      </c>
      <c r="H15" s="28">
        <f>D15*L11</f>
        <v>500</v>
      </c>
      <c r="I15" s="29">
        <f t="shared" si="1"/>
        <v>1750</v>
      </c>
      <c r="J15" s="2"/>
      <c r="K15" s="2"/>
      <c r="L15" s="2"/>
    </row>
    <row r="16" spans="1:12" ht="15.75" x14ac:dyDescent="0.25">
      <c r="A16" s="363" t="s">
        <v>410</v>
      </c>
      <c r="B16" s="364"/>
      <c r="C16" s="365"/>
      <c r="D16" s="24">
        <v>300</v>
      </c>
      <c r="E16" s="25" t="s">
        <v>12</v>
      </c>
      <c r="F16" s="26">
        <v>3.1</v>
      </c>
      <c r="G16" s="27">
        <f t="shared" si="0"/>
        <v>930</v>
      </c>
      <c r="H16" s="28">
        <f>D16*L11</f>
        <v>300</v>
      </c>
      <c r="I16" s="29">
        <f t="shared" si="1"/>
        <v>930</v>
      </c>
      <c r="J16" s="2"/>
      <c r="K16" s="2"/>
      <c r="L16" s="2"/>
    </row>
    <row r="17" spans="1:12" ht="15.75" x14ac:dyDescent="0.25">
      <c r="A17" s="394" t="s">
        <v>33</v>
      </c>
      <c r="B17" s="364"/>
      <c r="C17" s="365"/>
      <c r="D17" s="35">
        <v>1000</v>
      </c>
      <c r="E17" s="36" t="s">
        <v>102</v>
      </c>
      <c r="F17" s="37">
        <v>3.6</v>
      </c>
      <c r="G17" s="27">
        <f t="shared" si="0"/>
        <v>3600</v>
      </c>
      <c r="H17" s="28">
        <f>D17*L11</f>
        <v>1000</v>
      </c>
      <c r="I17" s="29">
        <f t="shared" si="1"/>
        <v>3600</v>
      </c>
      <c r="J17" s="2"/>
      <c r="K17" s="2"/>
      <c r="L17" s="2"/>
    </row>
    <row r="18" spans="1:12" ht="15.75" x14ac:dyDescent="0.25">
      <c r="A18" s="394"/>
      <c r="B18" s="364"/>
      <c r="C18" s="365"/>
      <c r="D18" s="35"/>
      <c r="E18" s="36"/>
      <c r="F18" s="37"/>
      <c r="G18" s="27">
        <f t="shared" si="0"/>
        <v>0</v>
      </c>
      <c r="H18" s="28">
        <f>D18*L11</f>
        <v>0</v>
      </c>
      <c r="I18" s="29">
        <f t="shared" si="1"/>
        <v>0</v>
      </c>
      <c r="J18" s="2"/>
      <c r="K18" s="2"/>
      <c r="L18" s="2"/>
    </row>
    <row r="19" spans="1:12" ht="15.75" x14ac:dyDescent="0.25">
      <c r="A19" s="390"/>
      <c r="B19" s="364"/>
      <c r="C19" s="365"/>
      <c r="D19" s="38"/>
      <c r="E19" s="36"/>
      <c r="F19" s="39"/>
      <c r="G19" s="27">
        <f t="shared" si="0"/>
        <v>0</v>
      </c>
      <c r="H19" s="28">
        <f>D19*L11</f>
        <v>0</v>
      </c>
      <c r="I19" s="29">
        <f t="shared" si="1"/>
        <v>0</v>
      </c>
      <c r="J19" s="2"/>
      <c r="K19" s="2"/>
      <c r="L19" s="2"/>
    </row>
    <row r="20" spans="1:12" ht="16.5" thickBot="1" x14ac:dyDescent="0.3">
      <c r="A20" s="390"/>
      <c r="B20" s="364"/>
      <c r="C20" s="365"/>
      <c r="D20" s="40"/>
      <c r="E20" s="41"/>
      <c r="F20" s="42"/>
      <c r="G20" s="27">
        <f t="shared" si="0"/>
        <v>0</v>
      </c>
      <c r="H20" s="28">
        <f>D20*L11</f>
        <v>0</v>
      </c>
      <c r="I20" s="29">
        <f t="shared" si="1"/>
        <v>0</v>
      </c>
      <c r="J20" s="2"/>
      <c r="K20" s="2"/>
      <c r="L20" s="2"/>
    </row>
    <row r="21" spans="1:12" ht="15.75" x14ac:dyDescent="0.25">
      <c r="A21" s="50" t="s">
        <v>16</v>
      </c>
      <c r="B21" s="51"/>
      <c r="C21" s="51"/>
      <c r="D21" s="52"/>
      <c r="E21" s="52"/>
      <c r="F21" s="53"/>
      <c r="G21" s="20">
        <f>SUM(G11:G20)</f>
        <v>10114.6</v>
      </c>
      <c r="H21" s="2"/>
      <c r="I21" s="2"/>
      <c r="J21" s="2"/>
      <c r="K21" s="2"/>
      <c r="L21" s="2"/>
    </row>
    <row r="22" spans="1:12" ht="15.75" x14ac:dyDescent="0.25">
      <c r="A22" s="54" t="s">
        <v>17</v>
      </c>
      <c r="B22" s="55"/>
      <c r="C22" s="55"/>
      <c r="D22" s="56"/>
      <c r="E22" s="56"/>
      <c r="F22" s="57"/>
      <c r="G22" s="29">
        <f>G21*0.1</f>
        <v>1011.46</v>
      </c>
      <c r="H22" s="2"/>
      <c r="I22" s="2"/>
      <c r="J22" s="2"/>
      <c r="K22" s="2"/>
      <c r="L22" s="2"/>
    </row>
    <row r="23" spans="1:12" ht="16.5" thickBot="1" x14ac:dyDescent="0.3">
      <c r="A23" s="54" t="s">
        <v>18</v>
      </c>
      <c r="B23" s="55"/>
      <c r="C23" s="55"/>
      <c r="D23" s="56"/>
      <c r="E23" s="56"/>
      <c r="F23" s="58"/>
      <c r="G23" s="29">
        <f>SUM(G21:G22)</f>
        <v>11126.060000000001</v>
      </c>
      <c r="H23" s="2"/>
      <c r="I23" s="2"/>
      <c r="J23" s="2"/>
      <c r="K23" s="2"/>
      <c r="L23" s="2"/>
    </row>
    <row r="24" spans="1:12" ht="15.75" x14ac:dyDescent="0.25">
      <c r="A24" s="59" t="s">
        <v>19</v>
      </c>
      <c r="B24" s="33"/>
      <c r="C24" s="33"/>
      <c r="D24" s="60"/>
      <c r="E24" s="60"/>
      <c r="F24" s="61">
        <v>15</v>
      </c>
      <c r="G24" s="27">
        <f>G23/F24</f>
        <v>741.73733333333337</v>
      </c>
      <c r="H24" s="2"/>
      <c r="I24" s="2"/>
      <c r="J24" s="2"/>
      <c r="K24" s="2"/>
      <c r="L24" s="2"/>
    </row>
    <row r="25" spans="1:12" ht="15.75" x14ac:dyDescent="0.25">
      <c r="A25" s="382" t="s">
        <v>20</v>
      </c>
      <c r="B25" s="364"/>
      <c r="C25" s="364"/>
      <c r="D25" s="364"/>
      <c r="E25" s="364"/>
      <c r="F25" s="365"/>
      <c r="G25" s="62" t="e">
        <f>G24/G26</f>
        <v>#DIV/0!</v>
      </c>
      <c r="H25" s="2"/>
      <c r="I25" s="2"/>
      <c r="J25" s="2"/>
      <c r="K25" s="2"/>
      <c r="L25" s="2"/>
    </row>
    <row r="26" spans="1:12" ht="15.75" x14ac:dyDescent="0.25">
      <c r="A26" s="382" t="s">
        <v>21</v>
      </c>
      <c r="B26" s="364"/>
      <c r="C26" s="364"/>
      <c r="D26" s="364"/>
      <c r="E26" s="364"/>
      <c r="F26" s="365"/>
      <c r="G26" s="29">
        <v>0</v>
      </c>
      <c r="H26" s="2"/>
      <c r="I26" s="2"/>
      <c r="J26" s="2"/>
      <c r="K26" s="2"/>
      <c r="L26" s="2"/>
    </row>
    <row r="27" spans="1:12" ht="15.75" x14ac:dyDescent="0.25">
      <c r="A27" s="382" t="s">
        <v>22</v>
      </c>
      <c r="B27" s="364"/>
      <c r="C27" s="364"/>
      <c r="D27" s="364"/>
      <c r="E27" s="364"/>
      <c r="F27" s="365"/>
      <c r="G27" s="29">
        <f>G26*0.08</f>
        <v>0</v>
      </c>
      <c r="H27" s="2"/>
      <c r="I27" s="2"/>
      <c r="J27" s="2"/>
      <c r="K27" s="2"/>
      <c r="L27" s="2"/>
    </row>
    <row r="28" spans="1:12" ht="15.75" x14ac:dyDescent="0.25">
      <c r="A28" s="382" t="s">
        <v>23</v>
      </c>
      <c r="B28" s="364"/>
      <c r="C28" s="364"/>
      <c r="D28" s="364"/>
      <c r="E28" s="364"/>
      <c r="F28" s="365"/>
      <c r="G28" s="29">
        <f>G27+G26</f>
        <v>0</v>
      </c>
      <c r="H28" s="2"/>
      <c r="I28" s="2"/>
      <c r="J28" s="2"/>
      <c r="K28" s="2"/>
      <c r="L28" s="2"/>
    </row>
    <row r="29" spans="1:12" ht="15.75" x14ac:dyDescent="0.25">
      <c r="A29" s="382" t="s">
        <v>24</v>
      </c>
      <c r="B29" s="364"/>
      <c r="C29" s="364"/>
      <c r="D29" s="364"/>
      <c r="E29" s="364"/>
      <c r="F29" s="365"/>
      <c r="G29" s="29">
        <f>G28</f>
        <v>0</v>
      </c>
      <c r="H29" s="2"/>
      <c r="I29" s="2"/>
      <c r="J29" s="2"/>
      <c r="K29" s="2"/>
      <c r="L29" s="2"/>
    </row>
    <row r="30" spans="1:12" ht="16.5" thickBot="1" x14ac:dyDescent="0.3">
      <c r="A30" s="383" t="s">
        <v>25</v>
      </c>
      <c r="B30" s="384"/>
      <c r="C30" s="384"/>
      <c r="D30" s="384"/>
      <c r="E30" s="384"/>
      <c r="F30" s="385"/>
      <c r="G30" s="63" t="e">
        <f>(G24+G27)/G29</f>
        <v>#DIV/0!</v>
      </c>
      <c r="H30" s="2"/>
      <c r="I30" s="2"/>
      <c r="J30" s="2"/>
      <c r="K30" s="2"/>
      <c r="L30" s="2"/>
    </row>
    <row r="32" spans="1:12" ht="15.75" x14ac:dyDescent="0.25">
      <c r="A32" s="366" t="s">
        <v>0</v>
      </c>
      <c r="B32" s="367"/>
      <c r="C32" s="367"/>
      <c r="D32" s="367"/>
      <c r="E32" s="367"/>
      <c r="F32" s="367"/>
      <c r="G32" s="367"/>
      <c r="H32" s="2"/>
      <c r="I32" s="2"/>
      <c r="J32" s="2"/>
      <c r="K32" s="2"/>
      <c r="L32" s="2"/>
    </row>
    <row r="33" spans="1:12" ht="15.75" x14ac:dyDescent="0.25">
      <c r="A33" s="1"/>
      <c r="B33" s="1"/>
      <c r="C33" s="1"/>
      <c r="D33" s="1"/>
      <c r="E33" s="1"/>
      <c r="F33" s="1"/>
      <c r="G33" s="3"/>
      <c r="H33" s="2"/>
      <c r="I33" s="2"/>
      <c r="J33" s="2"/>
      <c r="K33" s="2"/>
      <c r="L33" s="2"/>
    </row>
    <row r="34" spans="1:12" ht="15.75" x14ac:dyDescent="0.25">
      <c r="A34" s="2" t="s">
        <v>1</v>
      </c>
      <c r="B34" s="368" t="s">
        <v>413</v>
      </c>
      <c r="C34" s="369"/>
      <c r="D34" s="369"/>
      <c r="E34" s="369"/>
      <c r="F34" s="369"/>
      <c r="G34" s="369"/>
      <c r="H34" s="2"/>
      <c r="I34" s="2"/>
      <c r="J34" s="2"/>
      <c r="K34" s="2"/>
      <c r="L34" s="2"/>
    </row>
    <row r="35" spans="1:12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6.5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6.5" thickBot="1" x14ac:dyDescent="0.3">
      <c r="A37" s="4"/>
      <c r="B37" s="5"/>
      <c r="C37" s="6"/>
      <c r="D37" s="7"/>
      <c r="E37" s="7"/>
      <c r="F37" s="8" t="s">
        <v>2</v>
      </c>
      <c r="G37" s="9"/>
      <c r="H37" s="2"/>
      <c r="I37" s="370"/>
      <c r="J37" s="367"/>
      <c r="K37" s="367"/>
      <c r="L37" s="2"/>
    </row>
    <row r="38" spans="1:12" ht="16.5" thickBot="1" x14ac:dyDescent="0.3">
      <c r="A38" s="371" t="s">
        <v>3</v>
      </c>
      <c r="B38" s="367"/>
      <c r="C38" s="372"/>
      <c r="D38" s="10" t="s">
        <v>4</v>
      </c>
      <c r="E38" s="10" t="s">
        <v>5</v>
      </c>
      <c r="F38" s="373" t="s">
        <v>6</v>
      </c>
      <c r="G38" s="374"/>
      <c r="H38" s="2"/>
      <c r="I38" s="2"/>
      <c r="J38" s="2"/>
      <c r="K38" s="2"/>
      <c r="L38" s="2"/>
    </row>
    <row r="39" spans="1:12" ht="16.5" thickBot="1" x14ac:dyDescent="0.3">
      <c r="A39" s="11"/>
      <c r="B39" s="2"/>
      <c r="C39" s="12"/>
      <c r="D39" s="13"/>
      <c r="E39" s="13"/>
      <c r="F39" s="4" t="s">
        <v>7</v>
      </c>
      <c r="G39" s="14" t="s">
        <v>8</v>
      </c>
      <c r="H39" s="4" t="s">
        <v>9</v>
      </c>
      <c r="I39" s="4" t="s">
        <v>10</v>
      </c>
      <c r="J39" s="375" t="s">
        <v>11</v>
      </c>
      <c r="K39" s="376"/>
      <c r="L39" s="374"/>
    </row>
    <row r="40" spans="1:12" ht="15.75" x14ac:dyDescent="0.25">
      <c r="A40" s="386" t="s">
        <v>412</v>
      </c>
      <c r="B40" s="378"/>
      <c r="C40" s="379"/>
      <c r="D40" s="15">
        <v>1000</v>
      </c>
      <c r="E40" s="16" t="s">
        <v>12</v>
      </c>
      <c r="F40" s="17">
        <v>2</v>
      </c>
      <c r="G40" s="18">
        <f t="shared" ref="G40:G48" si="2">D40*F40</f>
        <v>2000</v>
      </c>
      <c r="H40" s="19">
        <f>D40*L40</f>
        <v>1000</v>
      </c>
      <c r="I40" s="20">
        <f t="shared" ref="I40:I48" si="3">F40*H40</f>
        <v>2000</v>
      </c>
      <c r="J40" s="21" t="s">
        <v>13</v>
      </c>
      <c r="K40" s="22"/>
      <c r="L40" s="23">
        <v>1</v>
      </c>
    </row>
    <row r="41" spans="1:12" ht="15.75" x14ac:dyDescent="0.25">
      <c r="A41" s="363" t="s">
        <v>39</v>
      </c>
      <c r="B41" s="364"/>
      <c r="C41" s="365"/>
      <c r="D41" s="24">
        <v>400</v>
      </c>
      <c r="E41" s="25" t="s">
        <v>12</v>
      </c>
      <c r="F41" s="26">
        <v>23.74</v>
      </c>
      <c r="G41" s="27">
        <f t="shared" si="2"/>
        <v>9496</v>
      </c>
      <c r="H41" s="28">
        <f>D41*L40</f>
        <v>400</v>
      </c>
      <c r="I41" s="29">
        <f t="shared" si="3"/>
        <v>9496</v>
      </c>
      <c r="J41" s="30" t="s">
        <v>14</v>
      </c>
      <c r="K41" s="31"/>
      <c r="L41" s="32">
        <f>SUM(I40:I48)</f>
        <v>16162</v>
      </c>
    </row>
    <row r="42" spans="1:12" ht="15.75" x14ac:dyDescent="0.25">
      <c r="A42" s="363" t="s">
        <v>40</v>
      </c>
      <c r="B42" s="364"/>
      <c r="C42" s="365"/>
      <c r="D42" s="24">
        <v>10</v>
      </c>
      <c r="E42" s="25" t="s">
        <v>12</v>
      </c>
      <c r="F42" s="26">
        <v>2.6</v>
      </c>
      <c r="G42" s="27">
        <f t="shared" si="2"/>
        <v>26</v>
      </c>
      <c r="H42" s="28">
        <f>D42*L40</f>
        <v>10</v>
      </c>
      <c r="I42" s="29">
        <f t="shared" si="3"/>
        <v>26</v>
      </c>
      <c r="J42" s="380" t="s">
        <v>15</v>
      </c>
      <c r="K42" s="381"/>
      <c r="L42" s="34">
        <f>G54*L40</f>
        <v>0</v>
      </c>
    </row>
    <row r="43" spans="1:12" ht="15.75" x14ac:dyDescent="0.25">
      <c r="A43" s="363" t="s">
        <v>411</v>
      </c>
      <c r="B43" s="364"/>
      <c r="C43" s="365"/>
      <c r="D43" s="24">
        <v>20</v>
      </c>
      <c r="E43" s="25" t="s">
        <v>12</v>
      </c>
      <c r="F43" s="26">
        <v>11</v>
      </c>
      <c r="G43" s="27">
        <f t="shared" si="2"/>
        <v>220</v>
      </c>
      <c r="H43" s="28">
        <f>D43*L40</f>
        <v>20</v>
      </c>
      <c r="I43" s="29">
        <f t="shared" si="3"/>
        <v>220</v>
      </c>
      <c r="J43" s="2"/>
      <c r="K43" s="2"/>
      <c r="L43" s="2"/>
    </row>
    <row r="44" spans="1:12" ht="15.75" x14ac:dyDescent="0.25">
      <c r="A44" s="363" t="s">
        <v>84</v>
      </c>
      <c r="B44" s="364"/>
      <c r="C44" s="365"/>
      <c r="D44" s="24">
        <v>400</v>
      </c>
      <c r="E44" s="25" t="s">
        <v>59</v>
      </c>
      <c r="F44" s="26">
        <v>5.65</v>
      </c>
      <c r="G44" s="27">
        <f t="shared" si="2"/>
        <v>2260</v>
      </c>
      <c r="H44" s="28">
        <f>D44*L40</f>
        <v>400</v>
      </c>
      <c r="I44" s="29">
        <f t="shared" si="3"/>
        <v>2260</v>
      </c>
      <c r="J44" s="2"/>
      <c r="K44" s="2"/>
      <c r="L44" s="2"/>
    </row>
    <row r="45" spans="1:12" ht="15.75" x14ac:dyDescent="0.25">
      <c r="A45" s="363" t="s">
        <v>93</v>
      </c>
      <c r="B45" s="364"/>
      <c r="C45" s="365"/>
      <c r="D45" s="24">
        <v>600</v>
      </c>
      <c r="E45" s="25" t="s">
        <v>102</v>
      </c>
      <c r="F45" s="26">
        <v>3.6</v>
      </c>
      <c r="G45" s="27">
        <f t="shared" si="2"/>
        <v>2160</v>
      </c>
      <c r="H45" s="28">
        <f>D45*L40</f>
        <v>600</v>
      </c>
      <c r="I45" s="29">
        <f t="shared" si="3"/>
        <v>2160</v>
      </c>
      <c r="J45" s="2"/>
      <c r="K45" s="2"/>
      <c r="L45" s="2"/>
    </row>
    <row r="46" spans="1:12" ht="15.75" x14ac:dyDescent="0.25">
      <c r="A46" s="394"/>
      <c r="B46" s="364"/>
      <c r="C46" s="365"/>
      <c r="D46" s="35"/>
      <c r="E46" s="36"/>
      <c r="F46" s="37"/>
      <c r="G46" s="27">
        <f t="shared" si="2"/>
        <v>0</v>
      </c>
      <c r="H46" s="28">
        <f>D46*L40</f>
        <v>0</v>
      </c>
      <c r="I46" s="29">
        <f t="shared" si="3"/>
        <v>0</v>
      </c>
      <c r="J46" s="2"/>
      <c r="K46" s="2"/>
      <c r="L46" s="2"/>
    </row>
    <row r="47" spans="1:12" ht="15.75" x14ac:dyDescent="0.25">
      <c r="A47" s="394"/>
      <c r="B47" s="364"/>
      <c r="C47" s="365"/>
      <c r="D47" s="35"/>
      <c r="E47" s="36"/>
      <c r="F47" s="37"/>
      <c r="G47" s="27">
        <f t="shared" si="2"/>
        <v>0</v>
      </c>
      <c r="H47" s="28">
        <f>D47*L40</f>
        <v>0</v>
      </c>
      <c r="I47" s="29">
        <f t="shared" si="3"/>
        <v>0</v>
      </c>
      <c r="J47" s="2"/>
      <c r="K47" s="2"/>
      <c r="L47" s="2"/>
    </row>
    <row r="48" spans="1:12" ht="16.5" thickBot="1" x14ac:dyDescent="0.3">
      <c r="A48" s="390"/>
      <c r="B48" s="364"/>
      <c r="C48" s="365"/>
      <c r="D48" s="38"/>
      <c r="E48" s="36"/>
      <c r="F48" s="39"/>
      <c r="G48" s="27">
        <f t="shared" si="2"/>
        <v>0</v>
      </c>
      <c r="H48" s="28">
        <f>D48*L40</f>
        <v>0</v>
      </c>
      <c r="I48" s="29">
        <f t="shared" si="3"/>
        <v>0</v>
      </c>
      <c r="J48" s="2"/>
      <c r="K48" s="2"/>
      <c r="L48" s="2"/>
    </row>
    <row r="49" spans="1:12" ht="15.75" x14ac:dyDescent="0.25">
      <c r="A49" s="50" t="s">
        <v>16</v>
      </c>
      <c r="B49" s="51"/>
      <c r="C49" s="51"/>
      <c r="D49" s="52"/>
      <c r="E49" s="52"/>
      <c r="F49" s="53"/>
      <c r="G49" s="20">
        <f>SUM(G40:G48)</f>
        <v>16162</v>
      </c>
      <c r="H49" s="2"/>
      <c r="I49" s="2"/>
      <c r="J49" s="2"/>
      <c r="K49" s="2"/>
      <c r="L49" s="2"/>
    </row>
    <row r="50" spans="1:12" ht="15.75" x14ac:dyDescent="0.25">
      <c r="A50" s="54" t="s">
        <v>17</v>
      </c>
      <c r="B50" s="55"/>
      <c r="C50" s="55"/>
      <c r="D50" s="56"/>
      <c r="E50" s="56"/>
      <c r="F50" s="57"/>
      <c r="G50" s="29">
        <f>G49*0.1</f>
        <v>1616.2</v>
      </c>
      <c r="H50" s="2"/>
      <c r="I50" s="2"/>
      <c r="J50" s="2"/>
      <c r="K50" s="2"/>
      <c r="L50" s="2"/>
    </row>
    <row r="51" spans="1:12" ht="16.5" thickBot="1" x14ac:dyDescent="0.3">
      <c r="A51" s="54" t="s">
        <v>18</v>
      </c>
      <c r="B51" s="55"/>
      <c r="C51" s="55"/>
      <c r="D51" s="56"/>
      <c r="E51" s="56"/>
      <c r="F51" s="58"/>
      <c r="G51" s="29">
        <f>SUM(G49:G50)</f>
        <v>17778.2</v>
      </c>
      <c r="H51" s="2"/>
      <c r="I51" s="2"/>
      <c r="J51" s="2"/>
      <c r="K51" s="2"/>
      <c r="L51" s="2"/>
    </row>
    <row r="52" spans="1:12" ht="15.75" x14ac:dyDescent="0.25">
      <c r="A52" s="59" t="s">
        <v>19</v>
      </c>
      <c r="B52" s="33"/>
      <c r="C52" s="33"/>
      <c r="D52" s="60"/>
      <c r="E52" s="60"/>
      <c r="F52" s="61">
        <v>15</v>
      </c>
      <c r="G52" s="27">
        <f>G51/F52</f>
        <v>1185.2133333333334</v>
      </c>
      <c r="H52" s="2"/>
      <c r="I52" s="2"/>
      <c r="J52" s="2"/>
      <c r="K52" s="2"/>
      <c r="L52" s="2"/>
    </row>
    <row r="53" spans="1:12" ht="15.75" x14ac:dyDescent="0.25">
      <c r="A53" s="382" t="s">
        <v>20</v>
      </c>
      <c r="B53" s="364"/>
      <c r="C53" s="364"/>
      <c r="D53" s="364"/>
      <c r="E53" s="364"/>
      <c r="F53" s="365"/>
      <c r="G53" s="62" t="e">
        <f>G52/G54</f>
        <v>#DIV/0!</v>
      </c>
      <c r="H53" s="2"/>
      <c r="I53" s="2"/>
      <c r="J53" s="2"/>
      <c r="K53" s="2"/>
      <c r="L53" s="2"/>
    </row>
    <row r="54" spans="1:12" ht="15.75" x14ac:dyDescent="0.25">
      <c r="A54" s="382" t="s">
        <v>21</v>
      </c>
      <c r="B54" s="364"/>
      <c r="C54" s="364"/>
      <c r="D54" s="364"/>
      <c r="E54" s="364"/>
      <c r="F54" s="365"/>
      <c r="G54" s="29">
        <v>0</v>
      </c>
      <c r="H54" s="2"/>
      <c r="I54" s="2"/>
      <c r="J54" s="2"/>
      <c r="K54" s="2"/>
      <c r="L54" s="2"/>
    </row>
    <row r="55" spans="1:12" ht="15.75" x14ac:dyDescent="0.25">
      <c r="A55" s="382" t="s">
        <v>22</v>
      </c>
      <c r="B55" s="364"/>
      <c r="C55" s="364"/>
      <c r="D55" s="364"/>
      <c r="E55" s="364"/>
      <c r="F55" s="365"/>
      <c r="G55" s="29">
        <f>G54*0.08</f>
        <v>0</v>
      </c>
      <c r="H55" s="2"/>
      <c r="I55" s="2"/>
      <c r="J55" s="2"/>
      <c r="K55" s="2"/>
      <c r="L55" s="2"/>
    </row>
    <row r="56" spans="1:12" ht="15.75" x14ac:dyDescent="0.25">
      <c r="A56" s="382" t="s">
        <v>23</v>
      </c>
      <c r="B56" s="364"/>
      <c r="C56" s="364"/>
      <c r="D56" s="364"/>
      <c r="E56" s="364"/>
      <c r="F56" s="365"/>
      <c r="G56" s="29">
        <f>G55+G54</f>
        <v>0</v>
      </c>
      <c r="H56" s="2"/>
      <c r="I56" s="2"/>
      <c r="J56" s="2"/>
      <c r="K56" s="2"/>
      <c r="L56" s="2"/>
    </row>
    <row r="57" spans="1:12" ht="15.75" x14ac:dyDescent="0.25">
      <c r="A57" s="382" t="s">
        <v>24</v>
      </c>
      <c r="B57" s="364"/>
      <c r="C57" s="364"/>
      <c r="D57" s="364"/>
      <c r="E57" s="364"/>
      <c r="F57" s="365"/>
      <c r="G57" s="29">
        <f>G56</f>
        <v>0</v>
      </c>
      <c r="H57" s="2"/>
      <c r="I57" s="2"/>
      <c r="J57" s="2"/>
      <c r="K57" s="2"/>
      <c r="L57" s="2"/>
    </row>
    <row r="58" spans="1:12" ht="16.5" thickBot="1" x14ac:dyDescent="0.3">
      <c r="A58" s="383" t="s">
        <v>25</v>
      </c>
      <c r="B58" s="384"/>
      <c r="C58" s="384"/>
      <c r="D58" s="384"/>
      <c r="E58" s="384"/>
      <c r="F58" s="385"/>
      <c r="G58" s="63" t="e">
        <f>(G52+G55)/G57</f>
        <v>#DIV/0!</v>
      </c>
      <c r="H58" s="2"/>
      <c r="I58" s="2"/>
      <c r="J58" s="2"/>
      <c r="K58" s="2"/>
      <c r="L58" s="2"/>
    </row>
    <row r="61" spans="1:12" ht="15.75" x14ac:dyDescent="0.25">
      <c r="A61" s="366" t="s">
        <v>0</v>
      </c>
      <c r="B61" s="367"/>
      <c r="C61" s="367"/>
      <c r="D61" s="367"/>
      <c r="E61" s="367"/>
      <c r="F61" s="367"/>
      <c r="G61" s="367"/>
      <c r="H61" s="2"/>
      <c r="I61" s="2"/>
      <c r="J61" s="2"/>
      <c r="K61" s="2"/>
      <c r="L61" s="2"/>
    </row>
    <row r="62" spans="1:12" ht="15.75" x14ac:dyDescent="0.25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</row>
    <row r="63" spans="1:12" ht="15.75" x14ac:dyDescent="0.25">
      <c r="A63" s="2" t="s">
        <v>1</v>
      </c>
      <c r="B63" s="368" t="s">
        <v>422</v>
      </c>
      <c r="C63" s="369"/>
      <c r="D63" s="369"/>
      <c r="E63" s="369"/>
      <c r="F63" s="369"/>
      <c r="G63" s="369"/>
      <c r="H63" s="2"/>
      <c r="I63" s="2"/>
      <c r="J63" s="2"/>
      <c r="K63" s="2"/>
      <c r="L63" s="2"/>
    </row>
    <row r="64" spans="1:12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6.5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6.5" thickBot="1" x14ac:dyDescent="0.3">
      <c r="A66" s="4"/>
      <c r="B66" s="5"/>
      <c r="C66" s="6"/>
      <c r="D66" s="7"/>
      <c r="E66" s="7"/>
      <c r="F66" s="8" t="s">
        <v>2</v>
      </c>
      <c r="G66" s="9"/>
      <c r="H66" s="2"/>
      <c r="I66" s="370"/>
      <c r="J66" s="367"/>
      <c r="K66" s="367"/>
      <c r="L66" s="2"/>
    </row>
    <row r="67" spans="1:12" ht="16.5" thickBot="1" x14ac:dyDescent="0.3">
      <c r="A67" s="371" t="s">
        <v>3</v>
      </c>
      <c r="B67" s="367"/>
      <c r="C67" s="372"/>
      <c r="D67" s="10" t="s">
        <v>4</v>
      </c>
      <c r="E67" s="10" t="s">
        <v>5</v>
      </c>
      <c r="F67" s="373" t="s">
        <v>6</v>
      </c>
      <c r="G67" s="374"/>
      <c r="H67" s="2"/>
      <c r="I67" s="2"/>
      <c r="J67" s="2"/>
      <c r="K67" s="2"/>
      <c r="L67" s="2"/>
    </row>
    <row r="68" spans="1:12" ht="16.5" thickBot="1" x14ac:dyDescent="0.3">
      <c r="A68" s="11"/>
      <c r="B68" s="2"/>
      <c r="C68" s="12"/>
      <c r="D68" s="13"/>
      <c r="E68" s="13"/>
      <c r="F68" s="4" t="s">
        <v>7</v>
      </c>
      <c r="G68" s="14" t="s">
        <v>8</v>
      </c>
      <c r="H68" s="4" t="s">
        <v>9</v>
      </c>
      <c r="I68" s="4" t="s">
        <v>10</v>
      </c>
      <c r="J68" s="375" t="s">
        <v>11</v>
      </c>
      <c r="K68" s="376"/>
      <c r="L68" s="374"/>
    </row>
    <row r="69" spans="1:12" ht="15.75" x14ac:dyDescent="0.25">
      <c r="A69" s="386" t="s">
        <v>416</v>
      </c>
      <c r="B69" s="378"/>
      <c r="C69" s="379"/>
      <c r="D69" s="15">
        <v>500</v>
      </c>
      <c r="E69" s="16" t="s">
        <v>12</v>
      </c>
      <c r="F69" s="17">
        <v>31.1</v>
      </c>
      <c r="G69" s="18">
        <f t="shared" ref="G69:G76" si="4">D69*F69</f>
        <v>15550</v>
      </c>
      <c r="H69" s="19">
        <f>D69*L69</f>
        <v>500</v>
      </c>
      <c r="I69" s="20">
        <f t="shared" ref="I69:I76" si="5">F69*H69</f>
        <v>15550</v>
      </c>
      <c r="J69" s="21" t="s">
        <v>13</v>
      </c>
      <c r="K69" s="22"/>
      <c r="L69" s="23">
        <v>1</v>
      </c>
    </row>
    <row r="70" spans="1:12" ht="15.75" x14ac:dyDescent="0.25">
      <c r="A70" s="363" t="s">
        <v>93</v>
      </c>
      <c r="B70" s="364"/>
      <c r="C70" s="365"/>
      <c r="D70" s="24">
        <v>1000</v>
      </c>
      <c r="E70" s="25" t="s">
        <v>12</v>
      </c>
      <c r="F70" s="26">
        <v>3.6</v>
      </c>
      <c r="G70" s="27">
        <f t="shared" si="4"/>
        <v>3600</v>
      </c>
      <c r="H70" s="28">
        <f>D70*L69</f>
        <v>1000</v>
      </c>
      <c r="I70" s="29">
        <f t="shared" si="5"/>
        <v>3600</v>
      </c>
      <c r="J70" s="30" t="s">
        <v>14</v>
      </c>
      <c r="K70" s="31"/>
      <c r="L70" s="32">
        <f>SUM(I69:I76)</f>
        <v>31116</v>
      </c>
    </row>
    <row r="71" spans="1:12" ht="15.75" x14ac:dyDescent="0.25">
      <c r="A71" s="363" t="s">
        <v>84</v>
      </c>
      <c r="B71" s="364"/>
      <c r="C71" s="365"/>
      <c r="D71" s="24">
        <v>400</v>
      </c>
      <c r="E71" s="25" t="s">
        <v>12</v>
      </c>
      <c r="F71" s="26">
        <v>5.65</v>
      </c>
      <c r="G71" s="27">
        <f t="shared" si="4"/>
        <v>2260</v>
      </c>
      <c r="H71" s="28">
        <f>D71*L69</f>
        <v>400</v>
      </c>
      <c r="I71" s="29">
        <f t="shared" si="5"/>
        <v>2260</v>
      </c>
      <c r="J71" s="380" t="s">
        <v>15</v>
      </c>
      <c r="K71" s="381"/>
      <c r="L71" s="34">
        <f>G82*L69</f>
        <v>0</v>
      </c>
    </row>
    <row r="72" spans="1:12" ht="15.75" x14ac:dyDescent="0.25">
      <c r="A72" s="363" t="s">
        <v>415</v>
      </c>
      <c r="B72" s="364"/>
      <c r="C72" s="365"/>
      <c r="D72" s="24">
        <v>400</v>
      </c>
      <c r="E72" s="25" t="s">
        <v>12</v>
      </c>
      <c r="F72" s="26">
        <v>23.74</v>
      </c>
      <c r="G72" s="27">
        <v>0</v>
      </c>
      <c r="H72" s="28">
        <f>D72*L69</f>
        <v>400</v>
      </c>
      <c r="I72" s="29">
        <f t="shared" si="5"/>
        <v>9496</v>
      </c>
      <c r="J72" s="2"/>
      <c r="K72" s="2"/>
      <c r="L72" s="2"/>
    </row>
    <row r="73" spans="1:12" ht="15.75" x14ac:dyDescent="0.25">
      <c r="A73" s="363" t="s">
        <v>414</v>
      </c>
      <c r="B73" s="364"/>
      <c r="C73" s="365"/>
      <c r="D73" s="24">
        <v>60</v>
      </c>
      <c r="E73" s="25" t="s">
        <v>59</v>
      </c>
      <c r="F73" s="26">
        <v>3.5</v>
      </c>
      <c r="G73" s="27">
        <f t="shared" si="4"/>
        <v>210</v>
      </c>
      <c r="H73" s="28">
        <f>D73*L69</f>
        <v>60</v>
      </c>
      <c r="I73" s="29">
        <f t="shared" si="5"/>
        <v>210</v>
      </c>
      <c r="J73" s="2"/>
      <c r="K73" s="2"/>
      <c r="L73" s="2"/>
    </row>
    <row r="74" spans="1:12" ht="15.75" x14ac:dyDescent="0.25">
      <c r="A74" s="363"/>
      <c r="B74" s="364"/>
      <c r="C74" s="365"/>
      <c r="D74" s="24"/>
      <c r="E74" s="25"/>
      <c r="F74" s="26"/>
      <c r="G74" s="27">
        <f t="shared" si="4"/>
        <v>0</v>
      </c>
      <c r="H74" s="28">
        <f>D74*L69</f>
        <v>0</v>
      </c>
      <c r="I74" s="29">
        <f t="shared" si="5"/>
        <v>0</v>
      </c>
      <c r="J74" s="2"/>
      <c r="K74" s="2"/>
      <c r="L74" s="2"/>
    </row>
    <row r="75" spans="1:12" ht="15.75" x14ac:dyDescent="0.25">
      <c r="A75" s="394"/>
      <c r="B75" s="364"/>
      <c r="C75" s="365"/>
      <c r="D75" s="35"/>
      <c r="E75" s="36"/>
      <c r="F75" s="37"/>
      <c r="G75" s="27">
        <f t="shared" si="4"/>
        <v>0</v>
      </c>
      <c r="H75" s="28">
        <f>D75*L69</f>
        <v>0</v>
      </c>
      <c r="I75" s="29">
        <f t="shared" si="5"/>
        <v>0</v>
      </c>
      <c r="J75" s="2"/>
      <c r="K75" s="2"/>
      <c r="L75" s="2"/>
    </row>
    <row r="76" spans="1:12" ht="16.5" thickBot="1" x14ac:dyDescent="0.3">
      <c r="A76" s="394"/>
      <c r="B76" s="364"/>
      <c r="C76" s="365"/>
      <c r="D76" s="35"/>
      <c r="E76" s="36"/>
      <c r="F76" s="37"/>
      <c r="G76" s="27">
        <f t="shared" si="4"/>
        <v>0</v>
      </c>
      <c r="H76" s="28">
        <f>D76*L69</f>
        <v>0</v>
      </c>
      <c r="I76" s="29">
        <f t="shared" si="5"/>
        <v>0</v>
      </c>
      <c r="J76" s="2"/>
      <c r="K76" s="2"/>
      <c r="L76" s="2"/>
    </row>
    <row r="77" spans="1:12" ht="15.75" x14ac:dyDescent="0.25">
      <c r="A77" s="50" t="s">
        <v>16</v>
      </c>
      <c r="B77" s="51"/>
      <c r="C77" s="51"/>
      <c r="D77" s="52"/>
      <c r="E77" s="52"/>
      <c r="F77" s="53"/>
      <c r="G77" s="20">
        <f>SUM(G69:G76)</f>
        <v>21620</v>
      </c>
      <c r="H77" s="2"/>
      <c r="I77" s="2"/>
      <c r="J77" s="2"/>
      <c r="K77" s="2"/>
      <c r="L77" s="2"/>
    </row>
    <row r="78" spans="1:12" ht="15.75" x14ac:dyDescent="0.25">
      <c r="A78" s="54" t="s">
        <v>17</v>
      </c>
      <c r="B78" s="55"/>
      <c r="C78" s="55"/>
      <c r="D78" s="56"/>
      <c r="E78" s="56"/>
      <c r="F78" s="57"/>
      <c r="G78" s="29">
        <f>G77*0.1</f>
        <v>2162</v>
      </c>
      <c r="H78" s="2"/>
      <c r="I78" s="2"/>
      <c r="J78" s="2"/>
      <c r="K78" s="2"/>
      <c r="L78" s="2"/>
    </row>
    <row r="79" spans="1:12" ht="16.5" thickBot="1" x14ac:dyDescent="0.3">
      <c r="A79" s="54" t="s">
        <v>18</v>
      </c>
      <c r="B79" s="55"/>
      <c r="C79" s="55"/>
      <c r="D79" s="56"/>
      <c r="E79" s="56"/>
      <c r="F79" s="58"/>
      <c r="G79" s="29">
        <f>SUM(G77:G78)</f>
        <v>23782</v>
      </c>
      <c r="H79" s="2"/>
      <c r="I79" s="2"/>
      <c r="J79" s="2"/>
      <c r="K79" s="2"/>
      <c r="L79" s="2"/>
    </row>
    <row r="80" spans="1:12" ht="15.75" x14ac:dyDescent="0.25">
      <c r="A80" s="59" t="s">
        <v>19</v>
      </c>
      <c r="B80" s="33"/>
      <c r="C80" s="33"/>
      <c r="D80" s="60"/>
      <c r="E80" s="60"/>
      <c r="F80" s="61">
        <v>15</v>
      </c>
      <c r="G80" s="27">
        <f>G79/F80</f>
        <v>1585.4666666666667</v>
      </c>
      <c r="H80" s="2"/>
      <c r="I80" s="2"/>
      <c r="J80" s="2"/>
      <c r="K80" s="2"/>
      <c r="L80" s="2"/>
    </row>
    <row r="81" spans="1:12" ht="15.75" x14ac:dyDescent="0.25">
      <c r="A81" s="382" t="s">
        <v>20</v>
      </c>
      <c r="B81" s="364"/>
      <c r="C81" s="364"/>
      <c r="D81" s="364"/>
      <c r="E81" s="364"/>
      <c r="F81" s="365"/>
      <c r="G81" s="62" t="e">
        <f>G80/G82</f>
        <v>#DIV/0!</v>
      </c>
      <c r="H81" s="2"/>
      <c r="I81" s="2"/>
      <c r="J81" s="2"/>
      <c r="K81" s="2"/>
      <c r="L81" s="2"/>
    </row>
    <row r="82" spans="1:12" ht="15.75" x14ac:dyDescent="0.25">
      <c r="A82" s="382" t="s">
        <v>21</v>
      </c>
      <c r="B82" s="364"/>
      <c r="C82" s="364"/>
      <c r="D82" s="364"/>
      <c r="E82" s="364"/>
      <c r="F82" s="365"/>
      <c r="G82" s="29">
        <v>0</v>
      </c>
      <c r="H82" s="2"/>
      <c r="I82" s="2"/>
      <c r="J82" s="2"/>
      <c r="K82" s="2"/>
      <c r="L82" s="2"/>
    </row>
    <row r="83" spans="1:12" ht="15.75" x14ac:dyDescent="0.25">
      <c r="A83" s="382" t="s">
        <v>22</v>
      </c>
      <c r="B83" s="364"/>
      <c r="C83" s="364"/>
      <c r="D83" s="364"/>
      <c r="E83" s="364"/>
      <c r="F83" s="365"/>
      <c r="G83" s="29">
        <f>G82*0.08</f>
        <v>0</v>
      </c>
      <c r="H83" s="2"/>
      <c r="I83" s="2"/>
      <c r="J83" s="2"/>
      <c r="K83" s="2"/>
      <c r="L83" s="2"/>
    </row>
    <row r="84" spans="1:12" ht="15.75" x14ac:dyDescent="0.25">
      <c r="A84" s="382" t="s">
        <v>23</v>
      </c>
      <c r="B84" s="364"/>
      <c r="C84" s="364"/>
      <c r="D84" s="364"/>
      <c r="E84" s="364"/>
      <c r="F84" s="365"/>
      <c r="G84" s="29">
        <f>G83+G82</f>
        <v>0</v>
      </c>
      <c r="H84" s="2"/>
      <c r="I84" s="2"/>
      <c r="J84" s="2"/>
      <c r="K84" s="2"/>
      <c r="L84" s="2"/>
    </row>
    <row r="85" spans="1:12" ht="15.75" x14ac:dyDescent="0.25">
      <c r="A85" s="382" t="s">
        <v>24</v>
      </c>
      <c r="B85" s="364"/>
      <c r="C85" s="364"/>
      <c r="D85" s="364"/>
      <c r="E85" s="364"/>
      <c r="F85" s="365"/>
      <c r="G85" s="29">
        <f>G84</f>
        <v>0</v>
      </c>
      <c r="H85" s="2"/>
      <c r="I85" s="2"/>
      <c r="J85" s="2"/>
      <c r="K85" s="2"/>
      <c r="L85" s="2"/>
    </row>
    <row r="86" spans="1:12" ht="16.5" thickBot="1" x14ac:dyDescent="0.3">
      <c r="A86" s="383" t="s">
        <v>25</v>
      </c>
      <c r="B86" s="384"/>
      <c r="C86" s="384"/>
      <c r="D86" s="384"/>
      <c r="E86" s="384"/>
      <c r="F86" s="385"/>
      <c r="G86" s="63" t="e">
        <f>(G80+G83)/G85</f>
        <v>#DIV/0!</v>
      </c>
      <c r="H86" s="2"/>
      <c r="I86" s="2"/>
      <c r="J86" s="2"/>
      <c r="K86" s="2"/>
      <c r="L86" s="2"/>
    </row>
  </sheetData>
  <mergeCells count="66">
    <mergeCell ref="A18:C18"/>
    <mergeCell ref="A2:G2"/>
    <mergeCell ref="B5:G5"/>
    <mergeCell ref="I8:K8"/>
    <mergeCell ref="A9:C9"/>
    <mergeCell ref="F9:G9"/>
    <mergeCell ref="J10:L10"/>
    <mergeCell ref="A11:C11"/>
    <mergeCell ref="A12:C12"/>
    <mergeCell ref="A13:C13"/>
    <mergeCell ref="J13:K13"/>
    <mergeCell ref="A14:C14"/>
    <mergeCell ref="A15:C15"/>
    <mergeCell ref="A16:C16"/>
    <mergeCell ref="A17:C17"/>
    <mergeCell ref="A19:C19"/>
    <mergeCell ref="A27:F27"/>
    <mergeCell ref="A28:F28"/>
    <mergeCell ref="A29:F29"/>
    <mergeCell ref="A30:F30"/>
    <mergeCell ref="A25:F25"/>
    <mergeCell ref="A26:F26"/>
    <mergeCell ref="A20:C20"/>
    <mergeCell ref="A55:F55"/>
    <mergeCell ref="A56:F56"/>
    <mergeCell ref="A57:F57"/>
    <mergeCell ref="A58:F58"/>
    <mergeCell ref="A53:F53"/>
    <mergeCell ref="A54:F54"/>
    <mergeCell ref="A32:G32"/>
    <mergeCell ref="B34:G34"/>
    <mergeCell ref="J39:L39"/>
    <mergeCell ref="A40:C40"/>
    <mergeCell ref="A41:C41"/>
    <mergeCell ref="A71:C71"/>
    <mergeCell ref="J71:K71"/>
    <mergeCell ref="I37:K37"/>
    <mergeCell ref="A38:C38"/>
    <mergeCell ref="F38:G38"/>
    <mergeCell ref="A61:G61"/>
    <mergeCell ref="B63:G63"/>
    <mergeCell ref="I66:K66"/>
    <mergeCell ref="A44:C44"/>
    <mergeCell ref="A45:C45"/>
    <mergeCell ref="A46:C46"/>
    <mergeCell ref="A47:C47"/>
    <mergeCell ref="A48:C48"/>
    <mergeCell ref="A42:C42"/>
    <mergeCell ref="J42:K42"/>
    <mergeCell ref="A43:C43"/>
    <mergeCell ref="A67:C67"/>
    <mergeCell ref="F67:G67"/>
    <mergeCell ref="J68:L68"/>
    <mergeCell ref="A69:C69"/>
    <mergeCell ref="A70:C70"/>
    <mergeCell ref="A72:C72"/>
    <mergeCell ref="A73:C73"/>
    <mergeCell ref="A74:C74"/>
    <mergeCell ref="A75:C75"/>
    <mergeCell ref="A76:C76"/>
    <mergeCell ref="A84:F84"/>
    <mergeCell ref="A85:F85"/>
    <mergeCell ref="A86:F86"/>
    <mergeCell ref="A81:F81"/>
    <mergeCell ref="A82:F82"/>
    <mergeCell ref="A83:F8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EC6D-7CCD-4615-B584-19E5EB9111B1}">
  <dimension ref="A2:E72"/>
  <sheetViews>
    <sheetView topLeftCell="A12" workbookViewId="0">
      <selection activeCell="A12" sqref="A12"/>
    </sheetView>
  </sheetViews>
  <sheetFormatPr baseColWidth="10" defaultRowHeight="12.75" x14ac:dyDescent="0.2"/>
  <cols>
    <col min="1" max="1" width="35.28515625" bestFit="1" customWidth="1"/>
    <col min="2" max="2" width="10.7109375" customWidth="1"/>
    <col min="3" max="3" width="12.85546875" customWidth="1"/>
    <col min="4" max="4" width="36.28515625" bestFit="1" customWidth="1"/>
    <col min="5" max="5" width="26.140625" customWidth="1"/>
  </cols>
  <sheetData>
    <row r="2" spans="1:5" ht="30" x14ac:dyDescent="0.25">
      <c r="A2" s="104" t="s">
        <v>229</v>
      </c>
      <c r="B2" s="105" t="s">
        <v>4</v>
      </c>
      <c r="C2" s="106" t="s">
        <v>232</v>
      </c>
      <c r="D2" s="107" t="s">
        <v>3</v>
      </c>
      <c r="E2" s="107" t="s">
        <v>233</v>
      </c>
    </row>
    <row r="3" spans="1:5" ht="15" x14ac:dyDescent="0.2">
      <c r="A3" s="94" t="s">
        <v>234</v>
      </c>
      <c r="B3" s="108"/>
      <c r="C3" s="108" t="s">
        <v>12</v>
      </c>
      <c r="D3" s="101"/>
      <c r="E3" s="102"/>
    </row>
    <row r="4" spans="1:5" ht="15" x14ac:dyDescent="0.2">
      <c r="A4" s="93" t="s">
        <v>238</v>
      </c>
      <c r="B4" s="108"/>
      <c r="C4" s="108" t="s">
        <v>12</v>
      </c>
      <c r="D4" s="103"/>
      <c r="E4" s="102"/>
    </row>
    <row r="5" spans="1:5" ht="15" x14ac:dyDescent="0.2">
      <c r="A5" s="93"/>
      <c r="B5" s="108"/>
      <c r="C5" s="108" t="s">
        <v>12</v>
      </c>
      <c r="D5" s="103"/>
      <c r="E5" s="102"/>
    </row>
    <row r="6" spans="1:5" ht="15" x14ac:dyDescent="0.2">
      <c r="A6" s="97"/>
      <c r="B6" s="92"/>
      <c r="C6" s="108"/>
      <c r="D6" s="92"/>
      <c r="E6" s="92"/>
    </row>
    <row r="7" spans="1:5" ht="30" x14ac:dyDescent="0.2">
      <c r="B7" s="95"/>
      <c r="C7" s="107" t="s">
        <v>236</v>
      </c>
      <c r="D7" s="79" t="s">
        <v>214</v>
      </c>
      <c r="E7" s="92"/>
    </row>
    <row r="8" spans="1:5" ht="15" x14ac:dyDescent="0.2">
      <c r="A8" s="94"/>
      <c r="B8" s="95"/>
      <c r="C8" s="110">
        <v>29900</v>
      </c>
      <c r="D8" s="109">
        <v>0.35</v>
      </c>
      <c r="E8" s="92"/>
    </row>
    <row r="9" spans="1:5" ht="14.25" x14ac:dyDescent="0.2">
      <c r="A9" s="96"/>
      <c r="B9" s="92"/>
      <c r="C9" s="92"/>
      <c r="D9" s="92"/>
      <c r="E9" s="95"/>
    </row>
    <row r="10" spans="1:5" ht="14.25" x14ac:dyDescent="0.2">
      <c r="A10" s="96"/>
      <c r="B10" s="92"/>
      <c r="C10" s="92"/>
      <c r="D10" s="92"/>
      <c r="E10" s="92"/>
    </row>
    <row r="11" spans="1:5" ht="14.25" x14ac:dyDescent="0.2">
      <c r="B11" s="92"/>
      <c r="C11" s="92"/>
      <c r="D11" s="92"/>
      <c r="E11" s="92"/>
    </row>
    <row r="12" spans="1:5" ht="14.25" x14ac:dyDescent="0.2">
      <c r="A12" s="98" t="s">
        <v>235</v>
      </c>
      <c r="B12" s="405"/>
      <c r="C12" s="406"/>
      <c r="D12" s="406"/>
      <c r="E12" s="407"/>
    </row>
    <row r="14" spans="1:5" ht="30.75" thickBot="1" x14ac:dyDescent="0.3">
      <c r="A14" s="104" t="s">
        <v>230</v>
      </c>
      <c r="B14" s="105" t="s">
        <v>4</v>
      </c>
      <c r="C14" s="106" t="s">
        <v>232</v>
      </c>
      <c r="D14" s="99" t="s">
        <v>3</v>
      </c>
      <c r="E14" s="99" t="s">
        <v>233</v>
      </c>
    </row>
    <row r="15" spans="1:5" ht="15" x14ac:dyDescent="0.2">
      <c r="A15" s="94" t="s">
        <v>234</v>
      </c>
      <c r="B15" s="15">
        <v>180</v>
      </c>
      <c r="C15" s="111" t="s">
        <v>12</v>
      </c>
      <c r="D15" s="101" t="s">
        <v>88</v>
      </c>
      <c r="E15" s="102"/>
    </row>
    <row r="16" spans="1:5" ht="15" x14ac:dyDescent="0.2">
      <c r="A16" s="93" t="s">
        <v>237</v>
      </c>
      <c r="B16" s="24">
        <v>200</v>
      </c>
      <c r="C16" s="100" t="s">
        <v>12</v>
      </c>
      <c r="D16" s="103" t="s">
        <v>89</v>
      </c>
      <c r="E16" s="102"/>
    </row>
    <row r="17" spans="1:5" ht="15" x14ac:dyDescent="0.2">
      <c r="A17" s="93"/>
      <c r="B17" s="24">
        <v>86</v>
      </c>
      <c r="C17" s="100" t="s">
        <v>12</v>
      </c>
      <c r="D17" s="103" t="s">
        <v>90</v>
      </c>
      <c r="E17" s="102"/>
    </row>
    <row r="18" spans="1:5" ht="15" x14ac:dyDescent="0.2">
      <c r="A18" s="97"/>
      <c r="B18" s="24">
        <v>15</v>
      </c>
      <c r="C18" s="100" t="s">
        <v>12</v>
      </c>
      <c r="D18" s="103" t="s">
        <v>171</v>
      </c>
      <c r="E18" s="102"/>
    </row>
    <row r="19" spans="1:5" ht="30" x14ac:dyDescent="0.2">
      <c r="B19" s="95"/>
      <c r="C19" s="107" t="s">
        <v>236</v>
      </c>
      <c r="D19" s="79" t="s">
        <v>214</v>
      </c>
      <c r="E19" s="92"/>
    </row>
    <row r="20" spans="1:5" ht="15" x14ac:dyDescent="0.2">
      <c r="A20" s="94"/>
      <c r="B20" s="95"/>
      <c r="C20" s="110">
        <v>29900</v>
      </c>
      <c r="D20" s="109">
        <v>0.37</v>
      </c>
      <c r="E20" s="92"/>
    </row>
    <row r="21" spans="1:5" ht="14.25" x14ac:dyDescent="0.2">
      <c r="A21" s="96"/>
      <c r="B21" s="92"/>
      <c r="C21" s="92"/>
      <c r="D21" s="92"/>
      <c r="E21" s="95"/>
    </row>
    <row r="22" spans="1:5" ht="14.25" x14ac:dyDescent="0.2">
      <c r="A22" s="96"/>
      <c r="B22" s="92"/>
      <c r="C22" s="92"/>
      <c r="D22" s="92"/>
      <c r="E22" s="92"/>
    </row>
    <row r="23" spans="1:5" ht="14.25" x14ac:dyDescent="0.2">
      <c r="B23" s="92"/>
      <c r="C23" s="92"/>
      <c r="D23" s="92"/>
      <c r="E23" s="92"/>
    </row>
    <row r="24" spans="1:5" ht="14.25" x14ac:dyDescent="0.2">
      <c r="A24" s="98" t="s">
        <v>235</v>
      </c>
      <c r="B24" s="405"/>
      <c r="C24" s="406"/>
      <c r="D24" s="406"/>
      <c r="E24" s="407"/>
    </row>
    <row r="26" spans="1:5" ht="30.75" thickBot="1" x14ac:dyDescent="0.3">
      <c r="A26" s="104" t="s">
        <v>77</v>
      </c>
      <c r="B26" s="105" t="s">
        <v>4</v>
      </c>
      <c r="C26" s="106" t="s">
        <v>232</v>
      </c>
      <c r="D26" s="99" t="s">
        <v>3</v>
      </c>
      <c r="E26" s="99" t="s">
        <v>233</v>
      </c>
    </row>
    <row r="27" spans="1:5" ht="15" x14ac:dyDescent="0.2">
      <c r="A27" s="94" t="s">
        <v>234</v>
      </c>
      <c r="B27" s="15">
        <v>180</v>
      </c>
      <c r="C27" s="111" t="s">
        <v>12</v>
      </c>
      <c r="D27" s="101" t="s">
        <v>78</v>
      </c>
      <c r="E27" s="102"/>
    </row>
    <row r="28" spans="1:5" ht="15" x14ac:dyDescent="0.2">
      <c r="A28" s="93" t="s">
        <v>237</v>
      </c>
      <c r="B28" s="24">
        <v>80</v>
      </c>
      <c r="C28" s="100" t="s">
        <v>12</v>
      </c>
      <c r="D28" s="103" t="s">
        <v>79</v>
      </c>
      <c r="E28" s="102"/>
    </row>
    <row r="29" spans="1:5" ht="15" x14ac:dyDescent="0.2">
      <c r="A29" s="93"/>
      <c r="B29" s="24">
        <v>200</v>
      </c>
      <c r="C29" s="100" t="s">
        <v>12</v>
      </c>
      <c r="D29" s="103" t="s">
        <v>86</v>
      </c>
      <c r="E29" s="102"/>
    </row>
    <row r="30" spans="1:5" ht="15" x14ac:dyDescent="0.2">
      <c r="A30" s="97"/>
      <c r="B30" s="24">
        <v>100</v>
      </c>
      <c r="C30" s="100" t="s">
        <v>12</v>
      </c>
      <c r="D30" s="103" t="s">
        <v>87</v>
      </c>
      <c r="E30" s="102"/>
    </row>
    <row r="31" spans="1:5" ht="30" x14ac:dyDescent="0.2">
      <c r="B31" s="95"/>
      <c r="C31" s="107" t="s">
        <v>236</v>
      </c>
      <c r="D31" s="79" t="s">
        <v>214</v>
      </c>
      <c r="E31" s="92"/>
    </row>
    <row r="32" spans="1:5" ht="15" x14ac:dyDescent="0.2">
      <c r="A32" s="94"/>
      <c r="B32" s="95"/>
      <c r="C32" s="110">
        <v>40900</v>
      </c>
      <c r="D32" s="109">
        <v>0.36</v>
      </c>
      <c r="E32" s="92"/>
    </row>
    <row r="33" spans="1:5" ht="14.25" x14ac:dyDescent="0.2">
      <c r="A33" s="96"/>
      <c r="B33" s="92"/>
      <c r="C33" s="92"/>
      <c r="D33" s="92"/>
      <c r="E33" s="95"/>
    </row>
    <row r="34" spans="1:5" ht="14.25" x14ac:dyDescent="0.2">
      <c r="A34" s="96"/>
      <c r="B34" s="92"/>
      <c r="C34" s="92"/>
      <c r="D34" s="92"/>
      <c r="E34" s="92"/>
    </row>
    <row r="35" spans="1:5" ht="14.25" x14ac:dyDescent="0.2">
      <c r="B35" s="92"/>
      <c r="C35" s="92"/>
      <c r="D35" s="92"/>
      <c r="E35" s="92"/>
    </row>
    <row r="36" spans="1:5" ht="14.25" x14ac:dyDescent="0.2">
      <c r="A36" s="98" t="s">
        <v>235</v>
      </c>
      <c r="B36" s="405"/>
      <c r="C36" s="406"/>
      <c r="D36" s="406"/>
      <c r="E36" s="407"/>
    </row>
    <row r="38" spans="1:5" ht="30.75" thickBot="1" x14ac:dyDescent="0.3">
      <c r="A38" s="104" t="s">
        <v>231</v>
      </c>
      <c r="B38" s="105" t="s">
        <v>4</v>
      </c>
      <c r="C38" s="106" t="s">
        <v>232</v>
      </c>
      <c r="D38" s="99" t="s">
        <v>3</v>
      </c>
      <c r="E38" s="99" t="s">
        <v>233</v>
      </c>
    </row>
    <row r="39" spans="1:5" ht="15" x14ac:dyDescent="0.2">
      <c r="A39" s="94" t="s">
        <v>234</v>
      </c>
      <c r="B39" s="15">
        <v>180</v>
      </c>
      <c r="C39" s="111" t="s">
        <v>12</v>
      </c>
      <c r="D39" s="101" t="s">
        <v>66</v>
      </c>
      <c r="E39" s="102"/>
    </row>
    <row r="40" spans="1:5" ht="15" x14ac:dyDescent="0.2">
      <c r="A40" s="93" t="s">
        <v>237</v>
      </c>
      <c r="B40" s="24">
        <v>80</v>
      </c>
      <c r="C40" s="100" t="s">
        <v>12</v>
      </c>
      <c r="D40" s="103" t="s">
        <v>67</v>
      </c>
      <c r="E40" s="102"/>
    </row>
    <row r="41" spans="1:5" ht="15" x14ac:dyDescent="0.2">
      <c r="A41" s="93"/>
      <c r="B41" s="24">
        <v>200</v>
      </c>
      <c r="C41" s="100" t="s">
        <v>12</v>
      </c>
      <c r="D41" s="103" t="s">
        <v>68</v>
      </c>
      <c r="E41" s="102"/>
    </row>
    <row r="42" spans="1:5" ht="15" x14ac:dyDescent="0.2">
      <c r="A42" s="97"/>
      <c r="B42" s="24"/>
      <c r="C42" s="100"/>
      <c r="D42" s="103"/>
      <c r="E42" s="102"/>
    </row>
    <row r="43" spans="1:5" ht="30" x14ac:dyDescent="0.2">
      <c r="B43" s="95"/>
      <c r="C43" s="107" t="s">
        <v>236</v>
      </c>
      <c r="D43" s="79" t="s">
        <v>214</v>
      </c>
      <c r="E43" s="92"/>
    </row>
    <row r="44" spans="1:5" ht="15" x14ac:dyDescent="0.2">
      <c r="A44" s="94"/>
      <c r="B44" s="95"/>
      <c r="C44" s="110">
        <v>36900</v>
      </c>
      <c r="D44" s="109">
        <v>0.42</v>
      </c>
      <c r="E44" s="92"/>
    </row>
    <row r="45" spans="1:5" ht="14.25" x14ac:dyDescent="0.2">
      <c r="A45" s="96"/>
      <c r="B45" s="92"/>
      <c r="C45" s="92"/>
      <c r="D45" s="92"/>
      <c r="E45" s="95"/>
    </row>
    <row r="46" spans="1:5" ht="14.25" x14ac:dyDescent="0.2">
      <c r="A46" s="96"/>
      <c r="B46" s="92"/>
      <c r="C46" s="92"/>
      <c r="D46" s="92"/>
      <c r="E46" s="92"/>
    </row>
    <row r="47" spans="1:5" ht="14.25" x14ac:dyDescent="0.2">
      <c r="B47" s="92"/>
      <c r="C47" s="92"/>
      <c r="D47" s="92"/>
      <c r="E47" s="92"/>
    </row>
    <row r="48" spans="1:5" ht="14.25" x14ac:dyDescent="0.2">
      <c r="A48" s="98" t="s">
        <v>235</v>
      </c>
      <c r="B48" s="405"/>
      <c r="C48" s="406"/>
      <c r="D48" s="406"/>
      <c r="E48" s="407"/>
    </row>
    <row r="50" spans="1:5" ht="30.75" thickBot="1" x14ac:dyDescent="0.3">
      <c r="A50" s="104" t="s">
        <v>52</v>
      </c>
      <c r="B50" s="105" t="s">
        <v>4</v>
      </c>
      <c r="C50" s="106" t="s">
        <v>232</v>
      </c>
      <c r="D50" s="99" t="s">
        <v>3</v>
      </c>
      <c r="E50" s="99" t="s">
        <v>233</v>
      </c>
    </row>
    <row r="51" spans="1:5" ht="15" x14ac:dyDescent="0.2">
      <c r="A51" s="94" t="s">
        <v>234</v>
      </c>
      <c r="B51" s="15">
        <v>180</v>
      </c>
      <c r="C51" s="111" t="s">
        <v>12</v>
      </c>
      <c r="D51" s="101" t="s">
        <v>53</v>
      </c>
      <c r="E51" s="102"/>
    </row>
    <row r="52" spans="1:5" ht="15" x14ac:dyDescent="0.2">
      <c r="A52" s="93" t="s">
        <v>237</v>
      </c>
      <c r="B52" s="24">
        <v>86</v>
      </c>
      <c r="C52" s="100" t="s">
        <v>12</v>
      </c>
      <c r="D52" s="103" t="s">
        <v>54</v>
      </c>
      <c r="E52" s="102"/>
    </row>
    <row r="53" spans="1:5" ht="15" x14ac:dyDescent="0.2">
      <c r="A53" s="93"/>
      <c r="B53" s="24">
        <v>200</v>
      </c>
      <c r="C53" s="100" t="s">
        <v>12</v>
      </c>
      <c r="D53" s="103" t="s">
        <v>55</v>
      </c>
      <c r="E53" s="102"/>
    </row>
    <row r="54" spans="1:5" ht="15" x14ac:dyDescent="0.2">
      <c r="A54" s="97"/>
      <c r="B54" s="24" t="s">
        <v>57</v>
      </c>
      <c r="C54" s="100" t="s">
        <v>12</v>
      </c>
      <c r="D54" s="103" t="s">
        <v>56</v>
      </c>
      <c r="E54" s="102"/>
    </row>
    <row r="55" spans="1:5" ht="30" x14ac:dyDescent="0.2">
      <c r="B55" s="95"/>
      <c r="C55" s="107" t="s">
        <v>236</v>
      </c>
      <c r="D55" s="79" t="s">
        <v>214</v>
      </c>
      <c r="E55" s="92"/>
    </row>
    <row r="56" spans="1:5" ht="15" x14ac:dyDescent="0.2">
      <c r="A56" s="94"/>
      <c r="B56" s="95"/>
      <c r="C56" s="110">
        <v>32900</v>
      </c>
      <c r="D56" s="109">
        <v>0.38</v>
      </c>
      <c r="E56" s="92"/>
    </row>
    <row r="57" spans="1:5" ht="14.25" x14ac:dyDescent="0.2">
      <c r="A57" s="96"/>
      <c r="B57" s="92"/>
      <c r="C57" s="92"/>
      <c r="D57" s="92"/>
      <c r="E57" s="95"/>
    </row>
    <row r="58" spans="1:5" ht="14.25" x14ac:dyDescent="0.2">
      <c r="A58" s="96"/>
      <c r="B58" s="92"/>
      <c r="C58" s="92"/>
      <c r="D58" s="92"/>
      <c r="E58" s="92"/>
    </row>
    <row r="59" spans="1:5" ht="14.25" x14ac:dyDescent="0.2">
      <c r="B59" s="92"/>
      <c r="C59" s="92"/>
      <c r="D59" s="92"/>
      <c r="E59" s="92"/>
    </row>
    <row r="60" spans="1:5" ht="14.25" x14ac:dyDescent="0.2">
      <c r="A60" s="98" t="s">
        <v>235</v>
      </c>
      <c r="B60" s="405"/>
      <c r="C60" s="406"/>
      <c r="D60" s="406"/>
      <c r="E60" s="407"/>
    </row>
    <row r="62" spans="1:5" ht="30.75" thickBot="1" x14ac:dyDescent="0.3">
      <c r="A62" s="104" t="s">
        <v>26</v>
      </c>
      <c r="B62" s="105" t="s">
        <v>4</v>
      </c>
      <c r="C62" s="106" t="s">
        <v>232</v>
      </c>
      <c r="D62" s="99" t="s">
        <v>3</v>
      </c>
      <c r="E62" s="99" t="s">
        <v>233</v>
      </c>
    </row>
    <row r="63" spans="1:5" ht="15" x14ac:dyDescent="0.2">
      <c r="A63" s="94" t="s">
        <v>234</v>
      </c>
      <c r="B63" s="15">
        <v>100</v>
      </c>
      <c r="C63" s="111" t="s">
        <v>12</v>
      </c>
      <c r="D63" s="113" t="s">
        <v>27</v>
      </c>
      <c r="E63" s="102"/>
    </row>
    <row r="64" spans="1:5" ht="15" x14ac:dyDescent="0.2">
      <c r="A64" s="93" t="s">
        <v>237</v>
      </c>
      <c r="B64" s="24">
        <v>30</v>
      </c>
      <c r="C64" s="100" t="s">
        <v>12</v>
      </c>
      <c r="D64" s="103" t="s">
        <v>28</v>
      </c>
      <c r="E64" s="102"/>
    </row>
    <row r="65" spans="1:5" ht="15" x14ac:dyDescent="0.2">
      <c r="A65" s="93"/>
      <c r="B65" s="24">
        <v>80</v>
      </c>
      <c r="C65" s="112" t="s">
        <v>108</v>
      </c>
      <c r="D65" s="103" t="s">
        <v>29</v>
      </c>
      <c r="E65" s="102"/>
    </row>
    <row r="66" spans="1:5" ht="15" x14ac:dyDescent="0.2">
      <c r="A66" s="97"/>
      <c r="B66" s="24">
        <v>180</v>
      </c>
      <c r="C66" s="100" t="s">
        <v>12</v>
      </c>
      <c r="D66" s="103" t="s">
        <v>30</v>
      </c>
      <c r="E66" s="102"/>
    </row>
    <row r="67" spans="1:5" ht="30" x14ac:dyDescent="0.2">
      <c r="B67" s="95"/>
      <c r="C67" s="107" t="s">
        <v>236</v>
      </c>
      <c r="D67" s="79" t="s">
        <v>214</v>
      </c>
      <c r="E67" s="92"/>
    </row>
    <row r="68" spans="1:5" ht="15" x14ac:dyDescent="0.2">
      <c r="A68" s="94"/>
      <c r="B68" s="95"/>
      <c r="C68" s="110">
        <v>33900</v>
      </c>
      <c r="D68" s="109">
        <v>0.42</v>
      </c>
      <c r="E68" s="92"/>
    </row>
    <row r="69" spans="1:5" ht="14.25" x14ac:dyDescent="0.2">
      <c r="A69" s="96"/>
      <c r="B69" s="92"/>
      <c r="C69" s="92"/>
      <c r="D69" s="92"/>
      <c r="E69" s="95"/>
    </row>
    <row r="70" spans="1:5" ht="14.25" x14ac:dyDescent="0.2">
      <c r="A70" s="96"/>
      <c r="B70" s="92"/>
      <c r="C70" s="92"/>
      <c r="D70" s="92"/>
      <c r="E70" s="92"/>
    </row>
    <row r="71" spans="1:5" ht="14.25" x14ac:dyDescent="0.2">
      <c r="B71" s="92"/>
      <c r="C71" s="92"/>
      <c r="D71" s="92"/>
      <c r="E71" s="92"/>
    </row>
    <row r="72" spans="1:5" ht="14.25" x14ac:dyDescent="0.2">
      <c r="A72" s="98" t="s">
        <v>235</v>
      </c>
      <c r="B72" s="405"/>
      <c r="C72" s="406"/>
      <c r="D72" s="406"/>
      <c r="E72" s="407"/>
    </row>
  </sheetData>
  <mergeCells count="6">
    <mergeCell ref="B72:E72"/>
    <mergeCell ref="B48:E48"/>
    <mergeCell ref="B60:E60"/>
    <mergeCell ref="B36:E36"/>
    <mergeCell ref="B12:E12"/>
    <mergeCell ref="B24:E2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1"/>
  <sheetViews>
    <sheetView topLeftCell="A34" zoomScale="80" zoomScaleNormal="80" workbookViewId="0">
      <selection activeCell="A47" sqref="A47:C47"/>
    </sheetView>
  </sheetViews>
  <sheetFormatPr baseColWidth="10" defaultRowHeight="12.75" x14ac:dyDescent="0.2"/>
  <cols>
    <col min="1" max="1" width="20.7109375" customWidth="1"/>
    <col min="2" max="2" width="10" customWidth="1"/>
    <col min="3" max="3" width="7" customWidth="1"/>
    <col min="4" max="4" width="10.7109375" customWidth="1"/>
    <col min="5" max="5" width="12.85546875" customWidth="1"/>
    <col min="6" max="6" width="14.140625" customWidth="1"/>
    <col min="7" max="7" width="17" customWidth="1"/>
    <col min="8" max="8" width="20.7109375" customWidth="1"/>
    <col min="9" max="9" width="32.28515625" customWidth="1"/>
    <col min="10" max="10" width="11.28515625" customWidth="1"/>
    <col min="11" max="11" width="13.7109375" customWidth="1"/>
    <col min="12" max="12" width="19" customWidth="1"/>
  </cols>
  <sheetData>
    <row r="1" spans="1:12" ht="15.75" x14ac:dyDescent="0.25">
      <c r="A1" s="366"/>
      <c r="B1" s="367"/>
      <c r="C1" s="367"/>
      <c r="D1" s="367"/>
      <c r="E1" s="367"/>
      <c r="F1" s="367"/>
      <c r="G1" s="367"/>
      <c r="H1" s="2"/>
      <c r="I1" s="2"/>
      <c r="J1" s="2"/>
      <c r="K1" s="2"/>
      <c r="L1" s="2"/>
    </row>
    <row r="2" spans="1:12" ht="15.75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</row>
    <row r="3" spans="1:12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x14ac:dyDescent="0.25">
      <c r="A4" s="366" t="s">
        <v>0</v>
      </c>
      <c r="B4" s="367"/>
      <c r="C4" s="367"/>
      <c r="D4" s="367"/>
      <c r="E4" s="367"/>
      <c r="F4" s="367"/>
      <c r="G4" s="367"/>
      <c r="H4" s="2"/>
      <c r="I4" s="2"/>
      <c r="J4" s="2"/>
      <c r="K4" s="2"/>
      <c r="L4" s="2"/>
    </row>
    <row r="5" spans="1:12" ht="15.75" x14ac:dyDescent="0.25">
      <c r="A5" s="1"/>
      <c r="B5" s="1"/>
      <c r="C5" s="1"/>
      <c r="D5" s="1"/>
      <c r="E5" s="1"/>
      <c r="F5" s="1"/>
      <c r="G5" s="3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2" ht="15.75" x14ac:dyDescent="0.25">
      <c r="A7" s="2" t="s">
        <v>1</v>
      </c>
      <c r="B7" s="408" t="s">
        <v>200</v>
      </c>
      <c r="C7" s="409"/>
      <c r="D7" s="409"/>
      <c r="E7" s="409"/>
      <c r="F7" s="409"/>
      <c r="G7" s="409"/>
      <c r="H7" s="2"/>
      <c r="I7" s="2"/>
      <c r="J7" s="2"/>
      <c r="K7" s="2"/>
      <c r="L7" s="2"/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6.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6.5" thickBot="1" x14ac:dyDescent="0.3">
      <c r="A10" s="4"/>
      <c r="B10" s="5"/>
      <c r="C10" s="6"/>
      <c r="D10" s="7"/>
      <c r="E10" s="7"/>
      <c r="F10" s="8" t="s">
        <v>2</v>
      </c>
      <c r="G10" s="9"/>
      <c r="H10" s="2"/>
      <c r="I10" s="370"/>
      <c r="J10" s="367"/>
      <c r="K10" s="367"/>
      <c r="L10" s="2"/>
    </row>
    <row r="11" spans="1:12" ht="16.5" thickBot="1" x14ac:dyDescent="0.3">
      <c r="A11" s="371" t="s">
        <v>3</v>
      </c>
      <c r="B11" s="367"/>
      <c r="C11" s="372"/>
      <c r="D11" s="10" t="s">
        <v>4</v>
      </c>
      <c r="E11" s="10" t="s">
        <v>5</v>
      </c>
      <c r="F11" s="373" t="s">
        <v>6</v>
      </c>
      <c r="G11" s="374"/>
      <c r="H11" s="2"/>
      <c r="I11" s="2"/>
      <c r="J11" s="2"/>
      <c r="K11" s="2"/>
      <c r="L11" s="2"/>
    </row>
    <row r="12" spans="1:12" ht="16.5" thickBot="1" x14ac:dyDescent="0.3">
      <c r="A12" s="11"/>
      <c r="B12" s="2"/>
      <c r="C12" s="12"/>
      <c r="D12" s="13"/>
      <c r="E12" s="13"/>
      <c r="F12" s="4" t="s">
        <v>7</v>
      </c>
      <c r="G12" s="14" t="s">
        <v>8</v>
      </c>
      <c r="H12" s="4" t="s">
        <v>9</v>
      </c>
      <c r="I12" s="4" t="s">
        <v>10</v>
      </c>
      <c r="J12" s="375" t="s">
        <v>11</v>
      </c>
      <c r="K12" s="376"/>
      <c r="L12" s="374"/>
    </row>
    <row r="13" spans="1:12" ht="15.75" x14ac:dyDescent="0.25">
      <c r="A13" s="377" t="s">
        <v>118</v>
      </c>
      <c r="B13" s="378"/>
      <c r="C13" s="379"/>
      <c r="D13" s="15">
        <v>140</v>
      </c>
      <c r="E13" s="16" t="s">
        <v>12</v>
      </c>
      <c r="F13" s="17">
        <f>36.23</f>
        <v>36.229999999999997</v>
      </c>
      <c r="G13" s="68">
        <f>D13*F13</f>
        <v>5072.2</v>
      </c>
      <c r="H13" s="19">
        <f>D13*L13</f>
        <v>140</v>
      </c>
      <c r="I13" s="20">
        <f t="shared" ref="I13:I24" si="0">F13*H13</f>
        <v>5072.2</v>
      </c>
      <c r="J13" s="21" t="s">
        <v>13</v>
      </c>
      <c r="K13" s="22"/>
      <c r="L13" s="23">
        <v>1</v>
      </c>
    </row>
    <row r="14" spans="1:12" ht="15.75" x14ac:dyDescent="0.25">
      <c r="A14" s="411" t="s">
        <v>119</v>
      </c>
      <c r="B14" s="412"/>
      <c r="C14" s="413"/>
      <c r="D14" s="24">
        <v>250</v>
      </c>
      <c r="E14" s="25" t="s">
        <v>12</v>
      </c>
      <c r="F14" s="26">
        <v>38.496000000000002</v>
      </c>
      <c r="G14" s="69">
        <f>D14*F14</f>
        <v>9624</v>
      </c>
      <c r="H14" s="28">
        <f>D14*L13</f>
        <v>250</v>
      </c>
      <c r="I14" s="29">
        <f t="shared" si="0"/>
        <v>9624</v>
      </c>
      <c r="J14" s="30" t="s">
        <v>14</v>
      </c>
      <c r="K14" s="31"/>
      <c r="L14" s="32">
        <f>SUM(I13:I23)</f>
        <v>28524.649999999998</v>
      </c>
    </row>
    <row r="15" spans="1:12" ht="15.75" x14ac:dyDescent="0.25">
      <c r="A15" s="402" t="s">
        <v>120</v>
      </c>
      <c r="B15" s="364"/>
      <c r="C15" s="365"/>
      <c r="D15" s="24">
        <v>250</v>
      </c>
      <c r="E15" s="25" t="s">
        <v>12</v>
      </c>
      <c r="F15" s="26">
        <v>10.55</v>
      </c>
      <c r="G15" s="69">
        <f>D15*F15</f>
        <v>2637.5</v>
      </c>
      <c r="H15" s="28">
        <f>D15*L13</f>
        <v>250</v>
      </c>
      <c r="I15" s="29">
        <f t="shared" si="0"/>
        <v>2637.5</v>
      </c>
      <c r="J15" s="380" t="s">
        <v>15</v>
      </c>
      <c r="K15" s="381"/>
      <c r="L15" s="34">
        <f>G31*L13</f>
        <v>133200</v>
      </c>
    </row>
    <row r="16" spans="1:12" ht="15.75" x14ac:dyDescent="0.25">
      <c r="A16" s="402" t="s">
        <v>121</v>
      </c>
      <c r="B16" s="364"/>
      <c r="C16" s="365"/>
      <c r="D16" s="24">
        <v>2</v>
      </c>
      <c r="E16" s="67" t="s">
        <v>127</v>
      </c>
      <c r="F16" s="26">
        <v>2680</v>
      </c>
      <c r="G16" s="69">
        <f>D16*F16</f>
        <v>5360</v>
      </c>
      <c r="H16" s="28">
        <f>D16*L13</f>
        <v>2</v>
      </c>
      <c r="I16" s="29">
        <f t="shared" si="0"/>
        <v>5360</v>
      </c>
      <c r="J16" s="2"/>
      <c r="K16" s="2"/>
      <c r="L16" s="2"/>
    </row>
    <row r="17" spans="1:12" ht="15.75" x14ac:dyDescent="0.25">
      <c r="A17" s="66" t="s">
        <v>117</v>
      </c>
      <c r="B17" s="64"/>
      <c r="C17" s="65"/>
      <c r="D17" s="24">
        <v>150</v>
      </c>
      <c r="E17" s="67" t="s">
        <v>12</v>
      </c>
      <c r="F17" s="26">
        <v>3.5</v>
      </c>
      <c r="G17" s="69">
        <f t="shared" ref="G17:G23" si="1">D17*F17</f>
        <v>525</v>
      </c>
      <c r="H17" s="28">
        <v>150</v>
      </c>
      <c r="I17" s="29">
        <v>525</v>
      </c>
      <c r="J17" s="2"/>
      <c r="K17" s="2"/>
      <c r="L17" s="2"/>
    </row>
    <row r="18" spans="1:12" ht="15.75" x14ac:dyDescent="0.25">
      <c r="A18" s="402" t="s">
        <v>116</v>
      </c>
      <c r="B18" s="364"/>
      <c r="C18" s="365"/>
      <c r="D18" s="24">
        <v>300</v>
      </c>
      <c r="E18" s="25" t="s">
        <v>59</v>
      </c>
      <c r="F18" s="26">
        <v>7.4</v>
      </c>
      <c r="G18" s="69">
        <f t="shared" si="1"/>
        <v>2220</v>
      </c>
      <c r="H18" s="28">
        <f>D18*L13</f>
        <v>300</v>
      </c>
      <c r="I18" s="29">
        <f t="shared" si="0"/>
        <v>2220</v>
      </c>
      <c r="J18" s="2"/>
      <c r="K18" s="2"/>
      <c r="L18" s="2"/>
    </row>
    <row r="19" spans="1:12" ht="15.75" x14ac:dyDescent="0.25">
      <c r="A19" s="402" t="s">
        <v>122</v>
      </c>
      <c r="B19" s="364"/>
      <c r="C19" s="365"/>
      <c r="D19" s="24">
        <v>85</v>
      </c>
      <c r="E19" s="25" t="s">
        <v>59</v>
      </c>
      <c r="F19" s="26">
        <v>10.95</v>
      </c>
      <c r="G19" s="69">
        <f>D19*F19</f>
        <v>930.74999999999989</v>
      </c>
      <c r="H19" s="28">
        <f>D19*L13</f>
        <v>85</v>
      </c>
      <c r="I19" s="29">
        <f t="shared" si="0"/>
        <v>930.74999999999989</v>
      </c>
      <c r="J19" s="2"/>
      <c r="K19" s="2"/>
      <c r="L19" s="2"/>
    </row>
    <row r="20" spans="1:12" ht="15.75" x14ac:dyDescent="0.25">
      <c r="A20" s="403" t="s">
        <v>123</v>
      </c>
      <c r="B20" s="364"/>
      <c r="C20" s="365"/>
      <c r="D20" s="35">
        <v>80</v>
      </c>
      <c r="E20" s="36" t="s">
        <v>59</v>
      </c>
      <c r="F20" s="37">
        <v>5.37</v>
      </c>
      <c r="G20" s="69">
        <f>D20*F20</f>
        <v>429.6</v>
      </c>
      <c r="H20" s="28">
        <f>D20*L13</f>
        <v>80</v>
      </c>
      <c r="I20" s="29">
        <f t="shared" si="0"/>
        <v>429.6</v>
      </c>
      <c r="J20" s="2"/>
      <c r="K20" s="2"/>
      <c r="L20" s="2"/>
    </row>
    <row r="21" spans="1:12" ht="15.75" x14ac:dyDescent="0.25">
      <c r="A21" s="403" t="s">
        <v>124</v>
      </c>
      <c r="B21" s="364"/>
      <c r="C21" s="365"/>
      <c r="D21" s="35">
        <v>30</v>
      </c>
      <c r="E21" s="36" t="s">
        <v>59</v>
      </c>
      <c r="F21" s="37">
        <v>19</v>
      </c>
      <c r="G21" s="69">
        <f t="shared" si="1"/>
        <v>570</v>
      </c>
      <c r="H21" s="28">
        <f>D21*L13</f>
        <v>30</v>
      </c>
      <c r="I21" s="29">
        <f t="shared" si="0"/>
        <v>570</v>
      </c>
      <c r="J21" s="2"/>
      <c r="K21" s="2"/>
      <c r="L21" s="2"/>
    </row>
    <row r="22" spans="1:12" ht="15.75" x14ac:dyDescent="0.25">
      <c r="A22" s="410" t="s">
        <v>125</v>
      </c>
      <c r="B22" s="364"/>
      <c r="C22" s="365"/>
      <c r="D22" s="35">
        <v>30</v>
      </c>
      <c r="E22" s="36" t="s">
        <v>115</v>
      </c>
      <c r="F22" s="39">
        <v>10.26</v>
      </c>
      <c r="G22" s="69">
        <f t="shared" si="1"/>
        <v>307.8</v>
      </c>
      <c r="H22" s="28">
        <f>D22*L13</f>
        <v>30</v>
      </c>
      <c r="I22" s="29">
        <f t="shared" si="0"/>
        <v>307.8</v>
      </c>
      <c r="J22" s="2"/>
      <c r="K22" s="2"/>
      <c r="L22" s="2"/>
    </row>
    <row r="23" spans="1:12" ht="15.75" x14ac:dyDescent="0.25">
      <c r="A23" s="410" t="s">
        <v>126</v>
      </c>
      <c r="B23" s="364"/>
      <c r="C23" s="365"/>
      <c r="D23" s="35">
        <v>30</v>
      </c>
      <c r="E23" s="41" t="s">
        <v>59</v>
      </c>
      <c r="F23" s="42">
        <v>28.26</v>
      </c>
      <c r="G23" s="27">
        <f t="shared" si="1"/>
        <v>847.80000000000007</v>
      </c>
      <c r="H23" s="28">
        <f>D23*L13</f>
        <v>30</v>
      </c>
      <c r="I23" s="29">
        <f t="shared" si="0"/>
        <v>847.80000000000007</v>
      </c>
      <c r="J23" s="2"/>
      <c r="K23" s="2"/>
      <c r="L23" s="2"/>
    </row>
    <row r="24" spans="1:12" ht="16.5" thickBot="1" x14ac:dyDescent="0.3">
      <c r="A24" s="363" t="s">
        <v>222</v>
      </c>
      <c r="B24" s="364"/>
      <c r="C24" s="365"/>
      <c r="D24" s="24"/>
      <c r="E24" s="25"/>
      <c r="F24" s="26"/>
      <c r="G24" s="27">
        <v>2700</v>
      </c>
      <c r="H24" s="43">
        <f>D24*L13</f>
        <v>0</v>
      </c>
      <c r="I24" s="29">
        <f t="shared" si="0"/>
        <v>0</v>
      </c>
      <c r="J24" s="2"/>
      <c r="K24" s="2"/>
      <c r="L24" s="2"/>
    </row>
    <row r="25" spans="1:12" ht="15.75" x14ac:dyDescent="0.25">
      <c r="A25" s="50" t="s">
        <v>16</v>
      </c>
      <c r="B25" s="51"/>
      <c r="C25" s="51"/>
      <c r="D25" s="52"/>
      <c r="E25" s="52"/>
      <c r="F25" s="53"/>
      <c r="G25" s="20">
        <f>SUM(G13:G23)</f>
        <v>28524.649999999998</v>
      </c>
      <c r="H25" s="2"/>
      <c r="I25" s="2"/>
      <c r="J25" s="2"/>
      <c r="K25" s="2"/>
      <c r="L25" s="2"/>
    </row>
    <row r="26" spans="1:12" ht="15.75" x14ac:dyDescent="0.25">
      <c r="A26" s="54" t="s">
        <v>17</v>
      </c>
      <c r="B26" s="55"/>
      <c r="C26" s="55"/>
      <c r="D26" s="56"/>
      <c r="E26" s="56"/>
      <c r="F26" s="57"/>
      <c r="G26" s="29">
        <f>G25*0.1</f>
        <v>2852.4650000000001</v>
      </c>
      <c r="H26" s="2"/>
      <c r="I26" s="2"/>
      <c r="J26" s="2"/>
      <c r="K26" s="2"/>
      <c r="L26" s="2"/>
    </row>
    <row r="27" spans="1:12" ht="15.75" x14ac:dyDescent="0.25">
      <c r="A27" s="54" t="s">
        <v>18</v>
      </c>
      <c r="B27" s="55"/>
      <c r="C27" s="55"/>
      <c r="D27" s="56"/>
      <c r="E27" s="56"/>
      <c r="F27" s="58"/>
      <c r="G27" s="29">
        <f>SUM(G25:G26)</f>
        <v>31377.114999999998</v>
      </c>
      <c r="H27" s="2"/>
      <c r="I27" s="2"/>
      <c r="J27" s="2"/>
      <c r="K27" s="2"/>
      <c r="L27" s="2"/>
    </row>
    <row r="28" spans="1:12" ht="16.5" thickBot="1" x14ac:dyDescent="0.3">
      <c r="A28" s="363" t="s">
        <v>221</v>
      </c>
      <c r="B28" s="364"/>
      <c r="C28" s="365"/>
      <c r="D28" s="24"/>
      <c r="E28" s="25"/>
      <c r="F28" s="26"/>
      <c r="G28" s="29">
        <f>G24</f>
        <v>2700</v>
      </c>
      <c r="H28" s="2"/>
      <c r="I28" s="2"/>
      <c r="J28" s="2"/>
      <c r="K28" s="2"/>
      <c r="L28" s="2"/>
    </row>
    <row r="29" spans="1:12" ht="15.75" x14ac:dyDescent="0.25">
      <c r="A29" s="59" t="s">
        <v>19</v>
      </c>
      <c r="B29" s="33"/>
      <c r="C29" s="33"/>
      <c r="D29" s="60"/>
      <c r="E29" s="60"/>
      <c r="F29" s="61">
        <v>1</v>
      </c>
      <c r="G29" s="76">
        <f>G28+G27</f>
        <v>34077.114999999998</v>
      </c>
      <c r="H29" s="2"/>
      <c r="I29" s="2"/>
      <c r="J29" s="2"/>
      <c r="K29" s="2"/>
      <c r="L29" s="2"/>
    </row>
    <row r="30" spans="1:12" ht="15.75" x14ac:dyDescent="0.25">
      <c r="A30" s="382" t="s">
        <v>20</v>
      </c>
      <c r="B30" s="364"/>
      <c r="C30" s="364"/>
      <c r="D30" s="364"/>
      <c r="E30" s="364"/>
      <c r="F30" s="365"/>
      <c r="G30" s="62">
        <f>G29/G31</f>
        <v>0.25583419669669666</v>
      </c>
      <c r="H30" s="2"/>
      <c r="I30" s="2"/>
      <c r="J30" s="2"/>
      <c r="K30" s="2"/>
      <c r="L30" s="2"/>
    </row>
    <row r="31" spans="1:12" ht="15.75" x14ac:dyDescent="0.25">
      <c r="A31" s="382" t="s">
        <v>21</v>
      </c>
      <c r="B31" s="364"/>
      <c r="C31" s="364"/>
      <c r="D31" s="364"/>
      <c r="E31" s="364"/>
      <c r="F31" s="365"/>
      <c r="G31" s="29">
        <v>133200</v>
      </c>
      <c r="H31" s="2"/>
      <c r="I31" s="2"/>
      <c r="J31" s="2"/>
      <c r="K31" s="2"/>
      <c r="L31" s="2"/>
    </row>
    <row r="32" spans="1:12" ht="15.75" x14ac:dyDescent="0.25">
      <c r="A32" s="382" t="s">
        <v>22</v>
      </c>
      <c r="B32" s="364"/>
      <c r="C32" s="364"/>
      <c r="D32" s="364"/>
      <c r="E32" s="364"/>
      <c r="F32" s="365"/>
      <c r="G32" s="29">
        <v>6800</v>
      </c>
      <c r="H32" s="2"/>
      <c r="I32" s="2"/>
      <c r="J32" s="2"/>
      <c r="K32" s="2"/>
      <c r="L32" s="2"/>
    </row>
    <row r="33" spans="1:12" ht="15.75" x14ac:dyDescent="0.25">
      <c r="A33" s="382" t="s">
        <v>23</v>
      </c>
      <c r="B33" s="364"/>
      <c r="C33" s="364"/>
      <c r="D33" s="364"/>
      <c r="E33" s="364"/>
      <c r="F33" s="365"/>
      <c r="G33" s="29">
        <f>G32+G31</f>
        <v>140000</v>
      </c>
      <c r="H33" s="2"/>
      <c r="I33" s="2"/>
      <c r="J33" s="2"/>
      <c r="K33" s="2"/>
      <c r="L33" s="2"/>
    </row>
    <row r="34" spans="1:12" ht="15.75" x14ac:dyDescent="0.25">
      <c r="A34" s="382" t="s">
        <v>24</v>
      </c>
      <c r="B34" s="364"/>
      <c r="C34" s="364"/>
      <c r="D34" s="364"/>
      <c r="E34" s="364"/>
      <c r="F34" s="365"/>
      <c r="G34" s="29">
        <f>G33</f>
        <v>140000</v>
      </c>
      <c r="H34" s="2"/>
      <c r="I34" s="2"/>
      <c r="J34" s="2"/>
      <c r="K34" s="2"/>
      <c r="L34" s="2"/>
    </row>
    <row r="35" spans="1:12" ht="16.5" thickBot="1" x14ac:dyDescent="0.3">
      <c r="A35" s="383" t="s">
        <v>25</v>
      </c>
      <c r="B35" s="384"/>
      <c r="C35" s="384"/>
      <c r="D35" s="384"/>
      <c r="E35" s="384"/>
      <c r="F35" s="385"/>
      <c r="G35" s="63">
        <f>(G29+G32)/G34</f>
        <v>0.29197939285714286</v>
      </c>
      <c r="H35" s="2"/>
      <c r="I35" s="2"/>
      <c r="J35" s="2"/>
      <c r="K35" s="2"/>
      <c r="L35" s="2"/>
    </row>
    <row r="36" spans="1:12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x14ac:dyDescent="0.25">
      <c r="A37" s="366" t="s">
        <v>0</v>
      </c>
      <c r="B37" s="367"/>
      <c r="C37" s="367"/>
      <c r="D37" s="367"/>
      <c r="E37" s="367"/>
      <c r="F37" s="367"/>
      <c r="G37" s="367"/>
      <c r="H37" s="2"/>
      <c r="I37" s="2"/>
      <c r="J37" s="2"/>
      <c r="K37" s="2"/>
      <c r="L37" s="2"/>
    </row>
    <row r="38" spans="1:12" ht="15.75" x14ac:dyDescent="0.25">
      <c r="A38" s="1"/>
      <c r="B38" s="1"/>
      <c r="C38" s="1"/>
      <c r="D38" s="1"/>
      <c r="E38" s="1"/>
      <c r="F38" s="1"/>
      <c r="G38" s="3"/>
      <c r="H38" s="2"/>
      <c r="I38" s="2"/>
      <c r="J38" s="2"/>
      <c r="K38" s="2"/>
      <c r="L38" s="2"/>
    </row>
    <row r="39" spans="1:12" ht="15.75" x14ac:dyDescent="0.25">
      <c r="A39" s="1"/>
      <c r="B39" s="1"/>
      <c r="C39" s="1"/>
      <c r="D39" s="1"/>
      <c r="E39" s="1"/>
      <c r="F39" s="1"/>
      <c r="G39" s="2"/>
      <c r="H39" s="2"/>
      <c r="I39" s="2"/>
      <c r="J39" s="2"/>
      <c r="K39" s="2"/>
      <c r="L39" s="2"/>
    </row>
    <row r="40" spans="1:12" ht="15.75" x14ac:dyDescent="0.25">
      <c r="A40" s="2" t="s">
        <v>1</v>
      </c>
      <c r="B40" s="408" t="s">
        <v>201</v>
      </c>
      <c r="C40" s="409"/>
      <c r="D40" s="409"/>
      <c r="E40" s="409"/>
      <c r="F40" s="409"/>
      <c r="G40" s="409"/>
      <c r="H40" s="2"/>
      <c r="I40" s="2"/>
      <c r="J40" s="2"/>
      <c r="K40" s="2"/>
      <c r="L40" s="2"/>
    </row>
    <row r="41" spans="1:12" ht="15.7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6.5" thickBot="1" x14ac:dyDescent="0.3">
      <c r="A42" s="2"/>
      <c r="B42" s="2"/>
      <c r="C42" s="2"/>
      <c r="D42" s="2"/>
      <c r="E42" s="2"/>
      <c r="F42" s="2"/>
      <c r="G42" s="2"/>
      <c r="H42" s="2"/>
      <c r="I42" s="370"/>
      <c r="J42" s="367"/>
      <c r="K42" s="367"/>
      <c r="L42" s="2"/>
    </row>
    <row r="43" spans="1:12" ht="16.5" thickBot="1" x14ac:dyDescent="0.3">
      <c r="A43" s="4"/>
      <c r="B43" s="5"/>
      <c r="C43" s="6"/>
      <c r="D43" s="7"/>
      <c r="E43" s="7"/>
      <c r="F43" s="8" t="s">
        <v>2</v>
      </c>
      <c r="G43" s="9"/>
      <c r="H43" s="2"/>
      <c r="I43" s="2"/>
      <c r="J43" s="2"/>
      <c r="K43" s="2"/>
      <c r="L43" s="2"/>
    </row>
    <row r="44" spans="1:12" ht="16.5" thickBot="1" x14ac:dyDescent="0.3">
      <c r="A44" s="371" t="s">
        <v>3</v>
      </c>
      <c r="B44" s="367"/>
      <c r="C44" s="372"/>
      <c r="D44" s="10" t="s">
        <v>4</v>
      </c>
      <c r="E44" s="10" t="s">
        <v>5</v>
      </c>
      <c r="F44" s="373" t="s">
        <v>6</v>
      </c>
      <c r="G44" s="374"/>
      <c r="H44" s="4" t="s">
        <v>9</v>
      </c>
      <c r="I44" s="4" t="s">
        <v>10</v>
      </c>
      <c r="J44" s="375" t="s">
        <v>11</v>
      </c>
      <c r="K44" s="376"/>
      <c r="L44" s="374"/>
    </row>
    <row r="45" spans="1:12" ht="16.5" thickBot="1" x14ac:dyDescent="0.3">
      <c r="A45" s="11"/>
      <c r="B45" s="2"/>
      <c r="C45" s="12"/>
      <c r="D45" s="13"/>
      <c r="E45" s="13"/>
      <c r="F45" s="4" t="s">
        <v>7</v>
      </c>
      <c r="G45" s="14" t="s">
        <v>8</v>
      </c>
      <c r="H45" s="19">
        <f>D46*L45</f>
        <v>100</v>
      </c>
      <c r="I45" s="20">
        <f t="shared" ref="I45:I56" si="2">F46*H45</f>
        <v>3622.9999999999995</v>
      </c>
      <c r="J45" s="21" t="s">
        <v>13</v>
      </c>
      <c r="K45" s="22"/>
      <c r="L45" s="23">
        <v>1</v>
      </c>
    </row>
    <row r="46" spans="1:12" ht="15.75" x14ac:dyDescent="0.25">
      <c r="A46" s="377" t="s">
        <v>118</v>
      </c>
      <c r="B46" s="378"/>
      <c r="C46" s="379"/>
      <c r="D46" s="15">
        <v>100</v>
      </c>
      <c r="E46" s="16" t="s">
        <v>12</v>
      </c>
      <c r="F46" s="17">
        <f>36.23</f>
        <v>36.229999999999997</v>
      </c>
      <c r="G46" s="68">
        <f>D46*F46</f>
        <v>3622.9999999999995</v>
      </c>
      <c r="H46" s="28">
        <f>D47*L45</f>
        <v>125</v>
      </c>
      <c r="I46" s="29">
        <f t="shared" si="2"/>
        <v>4812</v>
      </c>
      <c r="J46" s="30" t="s">
        <v>14</v>
      </c>
      <c r="K46" s="31"/>
      <c r="L46" s="32">
        <f>SUM(I45:I55)</f>
        <v>16642.149999999998</v>
      </c>
    </row>
    <row r="47" spans="1:12" ht="15.75" x14ac:dyDescent="0.25">
      <c r="A47" s="411" t="s">
        <v>119</v>
      </c>
      <c r="B47" s="412"/>
      <c r="C47" s="413"/>
      <c r="D47" s="24">
        <v>125</v>
      </c>
      <c r="E47" s="25" t="s">
        <v>12</v>
      </c>
      <c r="F47" s="26">
        <v>38.496000000000002</v>
      </c>
      <c r="G47" s="69">
        <f>D47*F47</f>
        <v>4812</v>
      </c>
      <c r="H47" s="28">
        <f>D48*L45</f>
        <v>125</v>
      </c>
      <c r="I47" s="29">
        <f t="shared" si="2"/>
        <v>1318.75</v>
      </c>
      <c r="J47" s="380" t="s">
        <v>15</v>
      </c>
      <c r="K47" s="381"/>
      <c r="L47" s="34">
        <f>G64*L45</f>
        <v>78200</v>
      </c>
    </row>
    <row r="48" spans="1:12" ht="15.75" x14ac:dyDescent="0.25">
      <c r="A48" s="402" t="s">
        <v>120</v>
      </c>
      <c r="B48" s="364"/>
      <c r="C48" s="365"/>
      <c r="D48" s="24">
        <v>125</v>
      </c>
      <c r="E48" s="25" t="s">
        <v>12</v>
      </c>
      <c r="F48" s="26">
        <v>10.55</v>
      </c>
      <c r="G48" s="69">
        <f t="shared" ref="G48:G56" si="3">D48*F48</f>
        <v>1318.75</v>
      </c>
      <c r="H48" s="28">
        <f>D49*L45</f>
        <v>1</v>
      </c>
      <c r="I48" s="29">
        <f t="shared" si="2"/>
        <v>2680</v>
      </c>
      <c r="J48" s="2"/>
      <c r="K48" s="2"/>
      <c r="L48" s="2"/>
    </row>
    <row r="49" spans="1:12" ht="15.75" x14ac:dyDescent="0.25">
      <c r="A49" s="402" t="s">
        <v>121</v>
      </c>
      <c r="B49" s="364"/>
      <c r="C49" s="365"/>
      <c r="D49" s="24">
        <v>1</v>
      </c>
      <c r="E49" s="67" t="s">
        <v>127</v>
      </c>
      <c r="F49" s="26">
        <v>2680</v>
      </c>
      <c r="G49" s="69">
        <f>D49*F49</f>
        <v>2680</v>
      </c>
      <c r="H49" s="28">
        <v>100</v>
      </c>
      <c r="I49" s="29">
        <f t="shared" si="2"/>
        <v>350</v>
      </c>
      <c r="J49" s="2"/>
      <c r="K49" s="2"/>
      <c r="L49" s="2"/>
    </row>
    <row r="50" spans="1:12" ht="15.75" x14ac:dyDescent="0.25">
      <c r="A50" s="66" t="s">
        <v>117</v>
      </c>
      <c r="B50" s="64"/>
      <c r="C50" s="65"/>
      <c r="D50" s="24">
        <v>100</v>
      </c>
      <c r="E50" s="67" t="s">
        <v>12</v>
      </c>
      <c r="F50" s="26">
        <v>3.5</v>
      </c>
      <c r="G50" s="69">
        <f t="shared" si="3"/>
        <v>350</v>
      </c>
      <c r="H50" s="28">
        <f>D51*L45</f>
        <v>200</v>
      </c>
      <c r="I50" s="29">
        <f t="shared" si="2"/>
        <v>1480</v>
      </c>
      <c r="J50" s="2"/>
      <c r="K50" s="2"/>
      <c r="L50" s="2"/>
    </row>
    <row r="51" spans="1:12" ht="15.75" x14ac:dyDescent="0.25">
      <c r="A51" s="402" t="s">
        <v>116</v>
      </c>
      <c r="B51" s="364"/>
      <c r="C51" s="365"/>
      <c r="D51" s="24">
        <v>200</v>
      </c>
      <c r="E51" s="25" t="s">
        <v>59</v>
      </c>
      <c r="F51" s="26">
        <v>7.4</v>
      </c>
      <c r="G51" s="69">
        <f t="shared" si="3"/>
        <v>1480</v>
      </c>
      <c r="H51" s="28">
        <f>D52*L45</f>
        <v>40</v>
      </c>
      <c r="I51" s="29">
        <f t="shared" si="2"/>
        <v>438</v>
      </c>
      <c r="J51" s="2"/>
      <c r="K51" s="2"/>
      <c r="L51" s="2"/>
    </row>
    <row r="52" spans="1:12" ht="15.75" x14ac:dyDescent="0.25">
      <c r="A52" s="402" t="s">
        <v>122</v>
      </c>
      <c r="B52" s="364"/>
      <c r="C52" s="365"/>
      <c r="D52" s="24">
        <v>40</v>
      </c>
      <c r="E52" s="25" t="s">
        <v>59</v>
      </c>
      <c r="F52" s="26">
        <v>10.95</v>
      </c>
      <c r="G52" s="69">
        <f>D52*F52</f>
        <v>438</v>
      </c>
      <c r="H52" s="28">
        <f>D53*L45</f>
        <v>40</v>
      </c>
      <c r="I52" s="29">
        <f t="shared" si="2"/>
        <v>214.8</v>
      </c>
      <c r="J52" s="2"/>
      <c r="K52" s="2"/>
      <c r="L52" s="2"/>
    </row>
    <row r="53" spans="1:12" ht="15.75" x14ac:dyDescent="0.25">
      <c r="A53" s="403" t="s">
        <v>123</v>
      </c>
      <c r="B53" s="364"/>
      <c r="C53" s="365"/>
      <c r="D53" s="35">
        <v>40</v>
      </c>
      <c r="E53" s="36" t="s">
        <v>59</v>
      </c>
      <c r="F53" s="37">
        <v>5.37</v>
      </c>
      <c r="G53" s="69">
        <f>D53*F53</f>
        <v>214.8</v>
      </c>
      <c r="H53" s="28">
        <f>D54*L45</f>
        <v>30</v>
      </c>
      <c r="I53" s="29">
        <f t="shared" si="2"/>
        <v>570</v>
      </c>
      <c r="J53" s="2"/>
      <c r="K53" s="2"/>
      <c r="L53" s="2"/>
    </row>
    <row r="54" spans="1:12" ht="15.75" x14ac:dyDescent="0.25">
      <c r="A54" s="403" t="s">
        <v>124</v>
      </c>
      <c r="B54" s="364"/>
      <c r="C54" s="365"/>
      <c r="D54" s="35">
        <v>30</v>
      </c>
      <c r="E54" s="36" t="s">
        <v>59</v>
      </c>
      <c r="F54" s="37">
        <v>19</v>
      </c>
      <c r="G54" s="69">
        <f t="shared" si="3"/>
        <v>570</v>
      </c>
      <c r="H54" s="28">
        <f>D55*L45</f>
        <v>30</v>
      </c>
      <c r="I54" s="29">
        <f t="shared" si="2"/>
        <v>307.8</v>
      </c>
      <c r="J54" s="2"/>
      <c r="K54" s="2"/>
      <c r="L54" s="2"/>
    </row>
    <row r="55" spans="1:12" ht="15.75" x14ac:dyDescent="0.25">
      <c r="A55" s="410" t="s">
        <v>125</v>
      </c>
      <c r="B55" s="364"/>
      <c r="C55" s="365"/>
      <c r="D55" s="35">
        <v>30</v>
      </c>
      <c r="E55" s="36" t="s">
        <v>115</v>
      </c>
      <c r="F55" s="39">
        <v>10.26</v>
      </c>
      <c r="G55" s="69">
        <f t="shared" si="3"/>
        <v>307.8</v>
      </c>
      <c r="H55" s="28">
        <f>D56*L45</f>
        <v>30</v>
      </c>
      <c r="I55" s="29">
        <f t="shared" si="2"/>
        <v>847.80000000000007</v>
      </c>
      <c r="J55" s="2"/>
      <c r="K55" s="2"/>
      <c r="L55" s="2"/>
    </row>
    <row r="56" spans="1:12" ht="15.75" x14ac:dyDescent="0.25">
      <c r="A56" s="410" t="s">
        <v>126</v>
      </c>
      <c r="B56" s="364"/>
      <c r="C56" s="365"/>
      <c r="D56" s="35">
        <v>30</v>
      </c>
      <c r="E56" s="41" t="s">
        <v>59</v>
      </c>
      <c r="F56" s="42">
        <v>28.26</v>
      </c>
      <c r="G56" s="27">
        <f t="shared" si="3"/>
        <v>847.80000000000007</v>
      </c>
      <c r="H56" s="43">
        <f>D57*L45</f>
        <v>0</v>
      </c>
      <c r="I56" s="29">
        <f t="shared" si="2"/>
        <v>0</v>
      </c>
      <c r="J56" s="2"/>
      <c r="K56" s="2"/>
      <c r="L56" s="2"/>
    </row>
    <row r="57" spans="1:12" ht="16.5" thickBot="1" x14ac:dyDescent="0.3">
      <c r="A57" s="363" t="s">
        <v>222</v>
      </c>
      <c r="B57" s="364"/>
      <c r="C57" s="365"/>
      <c r="D57" s="24"/>
      <c r="E57" s="25"/>
      <c r="F57" s="26"/>
      <c r="G57" s="27">
        <v>2700</v>
      </c>
      <c r="H57" s="2"/>
      <c r="I57" s="2"/>
      <c r="J57" s="2"/>
      <c r="K57" s="2"/>
      <c r="L57" s="2"/>
    </row>
    <row r="58" spans="1:12" ht="15.75" x14ac:dyDescent="0.25">
      <c r="A58" s="50" t="s">
        <v>16</v>
      </c>
      <c r="B58" s="51"/>
      <c r="C58" s="51"/>
      <c r="D58" s="52"/>
      <c r="E58" s="52"/>
      <c r="F58" s="53"/>
      <c r="G58" s="20">
        <f>SUM(G46:G56)</f>
        <v>16642.149999999998</v>
      </c>
      <c r="H58" s="2"/>
      <c r="I58" s="2"/>
      <c r="J58" s="2"/>
      <c r="K58" s="2"/>
      <c r="L58" s="2"/>
    </row>
    <row r="59" spans="1:12" ht="15.75" x14ac:dyDescent="0.25">
      <c r="A59" s="54" t="s">
        <v>17</v>
      </c>
      <c r="B59" s="55"/>
      <c r="C59" s="55"/>
      <c r="D59" s="56"/>
      <c r="E59" s="56"/>
      <c r="F59" s="57"/>
      <c r="G59" s="29">
        <f>G58*0.1</f>
        <v>1664.2149999999999</v>
      </c>
      <c r="H59" s="2"/>
      <c r="I59" s="2"/>
      <c r="J59" s="2"/>
      <c r="K59" s="2"/>
      <c r="L59" s="2"/>
    </row>
    <row r="60" spans="1:12" ht="15.75" x14ac:dyDescent="0.25">
      <c r="A60" s="54" t="s">
        <v>18</v>
      </c>
      <c r="B60" s="55"/>
      <c r="C60" s="55"/>
      <c r="D60" s="56"/>
      <c r="E60" s="56"/>
      <c r="F60" s="58"/>
      <c r="G60" s="29">
        <f>SUM(G58:G59)</f>
        <v>18306.364999999998</v>
      </c>
      <c r="H60" s="2"/>
      <c r="I60" s="2"/>
      <c r="J60" s="2"/>
      <c r="K60" s="2"/>
      <c r="L60" s="2"/>
    </row>
    <row r="61" spans="1:12" ht="16.5" thickBot="1" x14ac:dyDescent="0.3">
      <c r="A61" s="59" t="s">
        <v>221</v>
      </c>
      <c r="B61" s="33"/>
      <c r="C61" s="33"/>
      <c r="D61" s="60"/>
      <c r="E61" s="60"/>
      <c r="F61" s="89"/>
      <c r="G61" s="29">
        <f>G57</f>
        <v>2700</v>
      </c>
      <c r="H61" s="2"/>
      <c r="I61" s="2"/>
      <c r="J61" s="2"/>
      <c r="K61" s="2"/>
      <c r="L61" s="2"/>
    </row>
    <row r="62" spans="1:12" ht="15.75" x14ac:dyDescent="0.25">
      <c r="A62" s="59" t="s">
        <v>19</v>
      </c>
      <c r="B62" s="33"/>
      <c r="C62" s="33"/>
      <c r="D62" s="60"/>
      <c r="E62" s="60"/>
      <c r="F62" s="61">
        <v>1</v>
      </c>
      <c r="G62" s="76">
        <f>G61+G60</f>
        <v>21006.364999999998</v>
      </c>
      <c r="H62" s="2"/>
      <c r="I62" s="2"/>
      <c r="J62" s="2"/>
      <c r="K62" s="2"/>
      <c r="L62" s="2"/>
    </row>
    <row r="63" spans="1:12" ht="15.75" x14ac:dyDescent="0.25">
      <c r="A63" s="382" t="s">
        <v>20</v>
      </c>
      <c r="B63" s="364"/>
      <c r="C63" s="364"/>
      <c r="D63" s="364"/>
      <c r="E63" s="364"/>
      <c r="F63" s="365"/>
      <c r="G63" s="62">
        <f>G62/G64</f>
        <v>0.2686235933503836</v>
      </c>
      <c r="H63" s="2"/>
      <c r="I63" s="2"/>
      <c r="J63" s="2"/>
      <c r="K63" s="2"/>
      <c r="L63" s="2"/>
    </row>
    <row r="64" spans="1:12" ht="15.75" x14ac:dyDescent="0.25">
      <c r="A64" s="382" t="s">
        <v>21</v>
      </c>
      <c r="B64" s="364"/>
      <c r="C64" s="364"/>
      <c r="D64" s="364"/>
      <c r="E64" s="364"/>
      <c r="F64" s="365"/>
      <c r="G64" s="29">
        <v>78200</v>
      </c>
      <c r="H64" s="2"/>
      <c r="I64" s="2"/>
      <c r="J64" s="2"/>
      <c r="K64" s="2"/>
      <c r="L64" s="2"/>
    </row>
    <row r="65" spans="1:12" ht="15.75" x14ac:dyDescent="0.25">
      <c r="A65" s="382" t="s">
        <v>22</v>
      </c>
      <c r="B65" s="364"/>
      <c r="C65" s="364"/>
      <c r="D65" s="364"/>
      <c r="E65" s="364"/>
      <c r="F65" s="365"/>
      <c r="G65" s="29">
        <v>6800</v>
      </c>
      <c r="H65" s="2"/>
      <c r="I65" s="2"/>
      <c r="J65" s="2"/>
      <c r="K65" s="2"/>
      <c r="L65" s="2"/>
    </row>
    <row r="66" spans="1:12" ht="15.75" x14ac:dyDescent="0.25">
      <c r="A66" s="382" t="s">
        <v>23</v>
      </c>
      <c r="B66" s="364"/>
      <c r="C66" s="364"/>
      <c r="D66" s="364"/>
      <c r="E66" s="364"/>
      <c r="F66" s="365"/>
      <c r="G66" s="29">
        <f>G65+G64</f>
        <v>85000</v>
      </c>
      <c r="H66" s="2"/>
      <c r="I66" s="2"/>
      <c r="J66" s="2"/>
      <c r="K66" s="2"/>
      <c r="L66" s="2"/>
    </row>
    <row r="67" spans="1:12" ht="15.75" x14ac:dyDescent="0.25">
      <c r="A67" s="382" t="s">
        <v>24</v>
      </c>
      <c r="B67" s="364"/>
      <c r="C67" s="364"/>
      <c r="D67" s="364"/>
      <c r="E67" s="364"/>
      <c r="F67" s="365"/>
      <c r="G67" s="29">
        <f>G66</f>
        <v>85000</v>
      </c>
      <c r="H67" s="2"/>
      <c r="I67" s="2"/>
      <c r="J67" s="2"/>
      <c r="K67" s="2"/>
      <c r="L67" s="2"/>
    </row>
    <row r="68" spans="1:12" ht="16.5" thickBot="1" x14ac:dyDescent="0.3">
      <c r="A68" s="383" t="s">
        <v>25</v>
      </c>
      <c r="B68" s="384"/>
      <c r="C68" s="384"/>
      <c r="D68" s="384"/>
      <c r="E68" s="384"/>
      <c r="F68" s="385"/>
      <c r="G68" s="63">
        <f>(G62+G65)/G67</f>
        <v>0.32713370588235291</v>
      </c>
      <c r="H68" s="2"/>
      <c r="I68" s="2"/>
      <c r="J68" s="2"/>
      <c r="K68" s="2"/>
      <c r="L68" s="2"/>
    </row>
    <row r="69" spans="1:12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5.7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5.7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5.7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5.75" x14ac:dyDescent="0.25">
      <c r="A981" s="2"/>
      <c r="B981" s="2"/>
      <c r="C981" s="2"/>
      <c r="D981" s="2"/>
      <c r="E981" s="2"/>
      <c r="F981" s="2"/>
      <c r="G981" s="2"/>
    </row>
  </sheetData>
  <mergeCells count="50">
    <mergeCell ref="A49:C49"/>
    <mergeCell ref="A51:C51"/>
    <mergeCell ref="A52:C52"/>
    <mergeCell ref="A53:C53"/>
    <mergeCell ref="A54:C54"/>
    <mergeCell ref="A65:F65"/>
    <mergeCell ref="A66:F66"/>
    <mergeCell ref="A67:F67"/>
    <mergeCell ref="A68:F68"/>
    <mergeCell ref="A55:C55"/>
    <mergeCell ref="A56:C56"/>
    <mergeCell ref="A57:C57"/>
    <mergeCell ref="A63:F63"/>
    <mergeCell ref="A64:F64"/>
    <mergeCell ref="A46:C46"/>
    <mergeCell ref="A47:C47"/>
    <mergeCell ref="A48:C48"/>
    <mergeCell ref="J47:K47"/>
    <mergeCell ref="A28:C28"/>
    <mergeCell ref="A37:G37"/>
    <mergeCell ref="B40:G40"/>
    <mergeCell ref="I42:K42"/>
    <mergeCell ref="A44:C44"/>
    <mergeCell ref="F44:G44"/>
    <mergeCell ref="A32:F32"/>
    <mergeCell ref="A33:F33"/>
    <mergeCell ref="A34:F34"/>
    <mergeCell ref="A35:F35"/>
    <mergeCell ref="J44:L44"/>
    <mergeCell ref="A30:F30"/>
    <mergeCell ref="A31:F31"/>
    <mergeCell ref="A24:C24"/>
    <mergeCell ref="A23:C23"/>
    <mergeCell ref="J12:L12"/>
    <mergeCell ref="A13:C13"/>
    <mergeCell ref="A14:C14"/>
    <mergeCell ref="A15:C15"/>
    <mergeCell ref="J15:K15"/>
    <mergeCell ref="A16:C16"/>
    <mergeCell ref="A18:C18"/>
    <mergeCell ref="A19:C19"/>
    <mergeCell ref="A20:C20"/>
    <mergeCell ref="A21:C21"/>
    <mergeCell ref="A22:C22"/>
    <mergeCell ref="A1:G1"/>
    <mergeCell ref="A4:G4"/>
    <mergeCell ref="B7:G7"/>
    <mergeCell ref="I10:K10"/>
    <mergeCell ref="A11:C11"/>
    <mergeCell ref="F11:G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968"/>
  <sheetViews>
    <sheetView topLeftCell="A6" zoomScale="87" workbookViewId="0">
      <selection activeCell="A22" sqref="A22:F22"/>
    </sheetView>
  </sheetViews>
  <sheetFormatPr baseColWidth="10" defaultRowHeight="12.75" x14ac:dyDescent="0.2"/>
  <cols>
    <col min="1" max="1" width="20.7109375" customWidth="1"/>
    <col min="2" max="2" width="10" customWidth="1"/>
    <col min="3" max="3" width="7" customWidth="1"/>
    <col min="4" max="4" width="10.7109375" customWidth="1"/>
    <col min="5" max="5" width="12.85546875" customWidth="1"/>
    <col min="6" max="6" width="14.140625" customWidth="1"/>
    <col min="7" max="7" width="17" customWidth="1"/>
    <col min="8" max="8" width="20.7109375" customWidth="1"/>
    <col min="9" max="9" width="32.28515625" customWidth="1"/>
    <col min="10" max="10" width="11.28515625" customWidth="1"/>
    <col min="11" max="11" width="13.7109375" customWidth="1"/>
    <col min="12" max="12" width="19" customWidth="1"/>
  </cols>
  <sheetData>
    <row r="1" spans="1:12" ht="15.75" x14ac:dyDescent="0.25">
      <c r="A1" s="366"/>
      <c r="B1" s="367"/>
      <c r="C1" s="367"/>
      <c r="D1" s="367"/>
      <c r="E1" s="367"/>
      <c r="F1" s="367"/>
      <c r="G1" s="367"/>
      <c r="H1" s="2"/>
      <c r="I1" s="2"/>
      <c r="J1" s="2"/>
      <c r="K1" s="2"/>
      <c r="L1" s="2"/>
    </row>
    <row r="2" spans="1:12" ht="15.75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</row>
    <row r="3" spans="1:12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x14ac:dyDescent="0.25">
      <c r="A4" s="366" t="s">
        <v>0</v>
      </c>
      <c r="B4" s="367"/>
      <c r="C4" s="367"/>
      <c r="D4" s="367"/>
      <c r="E4" s="367"/>
      <c r="F4" s="367"/>
      <c r="G4" s="367"/>
      <c r="H4" s="2"/>
      <c r="I4" s="2"/>
      <c r="J4" s="2"/>
      <c r="K4" s="2"/>
      <c r="L4" s="2"/>
    </row>
    <row r="5" spans="1:12" ht="15.75" x14ac:dyDescent="0.25">
      <c r="A5" s="1"/>
      <c r="B5" s="1"/>
      <c r="C5" s="1"/>
      <c r="D5" s="1"/>
      <c r="E5" s="1"/>
      <c r="F5" s="1"/>
      <c r="G5" s="3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2" ht="15.75" x14ac:dyDescent="0.25">
      <c r="A7" s="2" t="s">
        <v>1</v>
      </c>
      <c r="B7" s="368" t="s">
        <v>97</v>
      </c>
      <c r="C7" s="369"/>
      <c r="D7" s="369"/>
      <c r="E7" s="369"/>
      <c r="F7" s="369"/>
      <c r="G7" s="369"/>
      <c r="H7" s="2"/>
      <c r="I7" s="2"/>
      <c r="J7" s="2"/>
      <c r="K7" s="2"/>
      <c r="L7" s="2"/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6.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6.5" thickBot="1" x14ac:dyDescent="0.3">
      <c r="A10" s="4"/>
      <c r="B10" s="5"/>
      <c r="C10" s="6"/>
      <c r="D10" s="7"/>
      <c r="E10" s="7"/>
      <c r="F10" s="8" t="s">
        <v>2</v>
      </c>
      <c r="G10" s="9"/>
      <c r="H10" s="2"/>
      <c r="I10" s="370"/>
      <c r="J10" s="367"/>
      <c r="K10" s="367"/>
      <c r="L10" s="2"/>
    </row>
    <row r="11" spans="1:12" ht="16.5" thickBot="1" x14ac:dyDescent="0.3">
      <c r="A11" s="371" t="s">
        <v>3</v>
      </c>
      <c r="B11" s="367"/>
      <c r="C11" s="372"/>
      <c r="D11" s="10" t="s">
        <v>4</v>
      </c>
      <c r="E11" s="10" t="s">
        <v>5</v>
      </c>
      <c r="F11" s="373" t="s">
        <v>6</v>
      </c>
      <c r="G11" s="374"/>
      <c r="H11" s="2"/>
      <c r="I11" s="2"/>
      <c r="J11" s="2"/>
      <c r="K11" s="2"/>
      <c r="L11" s="2"/>
    </row>
    <row r="12" spans="1:12" ht="16.5" thickBot="1" x14ac:dyDescent="0.3">
      <c r="A12" s="11"/>
      <c r="B12" s="2"/>
      <c r="C12" s="12"/>
      <c r="D12" s="13"/>
      <c r="E12" s="13"/>
      <c r="F12" s="4" t="s">
        <v>7</v>
      </c>
      <c r="G12" s="14" t="s">
        <v>8</v>
      </c>
      <c r="H12" s="4" t="s">
        <v>9</v>
      </c>
      <c r="I12" s="4" t="s">
        <v>10</v>
      </c>
      <c r="J12" s="375" t="s">
        <v>11</v>
      </c>
      <c r="K12" s="376"/>
      <c r="L12" s="374"/>
    </row>
    <row r="13" spans="1:12" ht="15.75" x14ac:dyDescent="0.25">
      <c r="A13" s="386" t="s">
        <v>98</v>
      </c>
      <c r="B13" s="378"/>
      <c r="C13" s="379"/>
      <c r="D13" s="15">
        <v>200</v>
      </c>
      <c r="E13" s="16" t="s">
        <v>12</v>
      </c>
      <c r="F13" s="17" t="s">
        <v>181</v>
      </c>
      <c r="G13" s="18">
        <v>15100</v>
      </c>
      <c r="H13" s="19">
        <f>D13*L13</f>
        <v>200</v>
      </c>
      <c r="I13" s="20">
        <v>15100</v>
      </c>
      <c r="J13" s="21" t="s">
        <v>13</v>
      </c>
      <c r="K13" s="22"/>
      <c r="L13" s="23">
        <v>1</v>
      </c>
    </row>
    <row r="14" spans="1:12" ht="15.75" x14ac:dyDescent="0.25">
      <c r="A14" s="363" t="s">
        <v>99</v>
      </c>
      <c r="B14" s="364"/>
      <c r="C14" s="365"/>
      <c r="D14" s="24">
        <v>100</v>
      </c>
      <c r="E14" s="25" t="s">
        <v>12</v>
      </c>
      <c r="F14" s="26" t="s">
        <v>187</v>
      </c>
      <c r="G14" s="27">
        <v>2164</v>
      </c>
      <c r="H14" s="28">
        <f>D14*L13</f>
        <v>100</v>
      </c>
      <c r="I14" s="29">
        <v>2164</v>
      </c>
      <c r="J14" s="30" t="s">
        <v>14</v>
      </c>
      <c r="K14" s="31"/>
      <c r="L14" s="32">
        <f>SUM(I13:I16)</f>
        <v>21906</v>
      </c>
    </row>
    <row r="15" spans="1:12" ht="15.75" x14ac:dyDescent="0.25">
      <c r="A15" s="363" t="s">
        <v>55</v>
      </c>
      <c r="B15" s="364"/>
      <c r="C15" s="365"/>
      <c r="D15" s="24">
        <v>200</v>
      </c>
      <c r="E15" s="25" t="s">
        <v>12</v>
      </c>
      <c r="F15" s="26" t="s">
        <v>172</v>
      </c>
      <c r="G15" s="27">
        <v>4642</v>
      </c>
      <c r="H15" s="28">
        <f>D15*L13</f>
        <v>200</v>
      </c>
      <c r="I15" s="29">
        <v>4642</v>
      </c>
      <c r="J15" s="380" t="s">
        <v>15</v>
      </c>
      <c r="K15" s="381"/>
      <c r="L15" s="34">
        <f>G22*L13</f>
        <v>65000</v>
      </c>
    </row>
    <row r="16" spans="1:12" ht="16.5" thickBot="1" x14ac:dyDescent="0.3">
      <c r="A16" s="363"/>
      <c r="B16" s="364"/>
      <c r="C16" s="365"/>
      <c r="D16" s="24"/>
      <c r="E16" s="25"/>
      <c r="F16" s="26"/>
      <c r="G16" s="27">
        <f>D16*F16</f>
        <v>0</v>
      </c>
      <c r="H16" s="28">
        <f>D16*L13</f>
        <v>0</v>
      </c>
      <c r="I16" s="29">
        <f>F16*H16</f>
        <v>0</v>
      </c>
      <c r="J16" s="2"/>
      <c r="K16" s="2"/>
      <c r="L16" s="2"/>
    </row>
    <row r="17" spans="1:12" ht="15.75" x14ac:dyDescent="0.25">
      <c r="A17" s="50" t="s">
        <v>16</v>
      </c>
      <c r="B17" s="51"/>
      <c r="C17" s="51"/>
      <c r="D17" s="52"/>
      <c r="E17" s="52"/>
      <c r="F17" s="53"/>
      <c r="G17" s="20">
        <f>SUM(G13:G16)</f>
        <v>21906</v>
      </c>
      <c r="H17" s="2"/>
      <c r="I17" s="2"/>
      <c r="J17" s="2"/>
      <c r="K17" s="2"/>
      <c r="L17" s="2"/>
    </row>
    <row r="18" spans="1:12" ht="15.75" x14ac:dyDescent="0.25">
      <c r="A18" s="54" t="s">
        <v>17</v>
      </c>
      <c r="B18" s="55"/>
      <c r="C18" s="55"/>
      <c r="D18" s="56"/>
      <c r="E18" s="56"/>
      <c r="F18" s="57"/>
      <c r="G18" s="29">
        <f>G17*0.1</f>
        <v>2190.6</v>
      </c>
      <c r="H18" s="2"/>
      <c r="I18" s="2"/>
      <c r="J18" s="2"/>
      <c r="K18" s="2"/>
      <c r="L18" s="2"/>
    </row>
    <row r="19" spans="1:12" ht="16.5" thickBot="1" x14ac:dyDescent="0.3">
      <c r="A19" s="54" t="s">
        <v>18</v>
      </c>
      <c r="B19" s="55"/>
      <c r="C19" s="55"/>
      <c r="D19" s="56"/>
      <c r="E19" s="56"/>
      <c r="F19" s="58"/>
      <c r="G19" s="29">
        <f>SUM(G17:G18)</f>
        <v>24096.6</v>
      </c>
      <c r="H19" s="2"/>
      <c r="I19" s="2"/>
      <c r="J19" s="2"/>
      <c r="K19" s="2"/>
      <c r="L19" s="2"/>
    </row>
    <row r="20" spans="1:12" ht="15.75" x14ac:dyDescent="0.25">
      <c r="A20" s="59" t="s">
        <v>19</v>
      </c>
      <c r="B20" s="33"/>
      <c r="C20" s="33"/>
      <c r="D20" s="60"/>
      <c r="E20" s="60"/>
      <c r="F20" s="61">
        <v>1</v>
      </c>
      <c r="G20" s="27">
        <f>G19/F20</f>
        <v>24096.6</v>
      </c>
      <c r="H20" s="2"/>
      <c r="I20" s="2"/>
      <c r="J20" s="2"/>
      <c r="K20" s="2"/>
      <c r="L20" s="2"/>
    </row>
    <row r="21" spans="1:12" ht="15.75" x14ac:dyDescent="0.25">
      <c r="A21" s="382" t="s">
        <v>20</v>
      </c>
      <c r="B21" s="364"/>
      <c r="C21" s="364"/>
      <c r="D21" s="364"/>
      <c r="E21" s="364"/>
      <c r="F21" s="365"/>
      <c r="G21" s="62">
        <f>G20/G22</f>
        <v>0.37071692307692306</v>
      </c>
      <c r="H21" s="2"/>
      <c r="I21" s="2"/>
      <c r="J21" s="2"/>
      <c r="K21" s="2"/>
      <c r="L21" s="2"/>
    </row>
    <row r="22" spans="1:12" ht="15.75" x14ac:dyDescent="0.25">
      <c r="A22" s="382" t="s">
        <v>21</v>
      </c>
      <c r="B22" s="364"/>
      <c r="C22" s="364"/>
      <c r="D22" s="364"/>
      <c r="E22" s="364"/>
      <c r="F22" s="365"/>
      <c r="G22" s="29">
        <v>65000</v>
      </c>
      <c r="H22" s="2"/>
      <c r="I22" s="2"/>
      <c r="J22" s="2"/>
      <c r="K22" s="2"/>
      <c r="L22" s="2"/>
    </row>
    <row r="23" spans="1:12" ht="15.75" x14ac:dyDescent="0.25">
      <c r="A23" s="382" t="s">
        <v>22</v>
      </c>
      <c r="B23" s="364"/>
      <c r="C23" s="364"/>
      <c r="D23" s="364"/>
      <c r="E23" s="364"/>
      <c r="F23" s="365"/>
      <c r="G23" s="29">
        <f>G22*0.08</f>
        <v>5200</v>
      </c>
      <c r="H23" s="2"/>
      <c r="I23" s="2"/>
      <c r="J23" s="2"/>
      <c r="K23" s="2"/>
      <c r="L23" s="2"/>
    </row>
    <row r="24" spans="1:12" ht="15.75" x14ac:dyDescent="0.25">
      <c r="A24" s="382" t="s">
        <v>23</v>
      </c>
      <c r="B24" s="364"/>
      <c r="C24" s="364"/>
      <c r="D24" s="364"/>
      <c r="E24" s="364"/>
      <c r="F24" s="365"/>
      <c r="G24" s="29">
        <f>G23+G22</f>
        <v>70200</v>
      </c>
      <c r="H24" s="2"/>
      <c r="I24" s="2"/>
      <c r="J24" s="2"/>
      <c r="K24" s="2"/>
      <c r="L24" s="2"/>
    </row>
    <row r="25" spans="1:12" ht="15.75" x14ac:dyDescent="0.25">
      <c r="A25" s="382" t="s">
        <v>24</v>
      </c>
      <c r="B25" s="364"/>
      <c r="C25" s="364"/>
      <c r="D25" s="364"/>
      <c r="E25" s="364"/>
      <c r="F25" s="365"/>
      <c r="G25" s="29">
        <f>G24</f>
        <v>70200</v>
      </c>
      <c r="H25" s="2"/>
      <c r="I25" s="2"/>
      <c r="J25" s="2"/>
      <c r="K25" s="2"/>
      <c r="L25" s="2"/>
    </row>
    <row r="26" spans="1:12" ht="16.5" thickBot="1" x14ac:dyDescent="0.3">
      <c r="A26" s="383" t="s">
        <v>25</v>
      </c>
      <c r="B26" s="384"/>
      <c r="C26" s="384"/>
      <c r="D26" s="384"/>
      <c r="E26" s="384"/>
      <c r="F26" s="385"/>
      <c r="G26" s="63">
        <f>(G20+G23)/G25</f>
        <v>0.41733048433048431</v>
      </c>
      <c r="H26" s="2"/>
      <c r="I26" s="2"/>
      <c r="J26" s="2"/>
      <c r="K26" s="2"/>
      <c r="L26" s="2"/>
    </row>
    <row r="27" spans="1:12" ht="15.7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5.7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5.7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5.7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5.7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5.7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5.7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5.7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5.7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5.7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5.7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5.7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5.7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5.7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5.7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5.7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5.7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5.7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5.7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5.7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5.7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5.7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5.7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5.7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5.7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5.7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5.7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5.7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5.7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5.7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5.7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5.7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5.7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5.7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5.7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5.7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5.7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5.7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5.7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5.7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5.7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5.7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5.7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5.7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5.7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5.7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5.7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5.7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5.7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5.7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5.7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5.7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.7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.7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</sheetData>
  <mergeCells count="18">
    <mergeCell ref="A26:F26"/>
    <mergeCell ref="A11:C11"/>
    <mergeCell ref="A13:C13"/>
    <mergeCell ref="A14:C14"/>
    <mergeCell ref="A15:C15"/>
    <mergeCell ref="A16:C16"/>
    <mergeCell ref="A21:F21"/>
    <mergeCell ref="A22:F22"/>
    <mergeCell ref="A23:F23"/>
    <mergeCell ref="A24:F24"/>
    <mergeCell ref="A25:F25"/>
    <mergeCell ref="J15:K15"/>
    <mergeCell ref="I10:K10"/>
    <mergeCell ref="F11:G11"/>
    <mergeCell ref="J12:L12"/>
    <mergeCell ref="A1:G1"/>
    <mergeCell ref="A4:G4"/>
    <mergeCell ref="B7:G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977"/>
  <sheetViews>
    <sheetView topLeftCell="A52" zoomScale="80" workbookViewId="0">
      <selection activeCell="G125" sqref="G125"/>
    </sheetView>
  </sheetViews>
  <sheetFormatPr baseColWidth="10" defaultRowHeight="12.75" x14ac:dyDescent="0.2"/>
  <cols>
    <col min="1" max="1" width="20.7109375" customWidth="1"/>
    <col min="2" max="2" width="10" customWidth="1"/>
    <col min="3" max="3" width="7" customWidth="1"/>
    <col min="4" max="4" width="10.7109375" customWidth="1"/>
    <col min="5" max="5" width="12.85546875" customWidth="1"/>
    <col min="6" max="6" width="14.140625" customWidth="1"/>
    <col min="7" max="7" width="17" customWidth="1"/>
    <col min="8" max="8" width="20.7109375" customWidth="1"/>
    <col min="9" max="9" width="32.28515625" customWidth="1"/>
    <col min="10" max="10" width="11.28515625" customWidth="1"/>
    <col min="11" max="11" width="13.7109375" customWidth="1"/>
    <col min="12" max="12" width="19" customWidth="1"/>
  </cols>
  <sheetData>
    <row r="1" spans="1:12" ht="15.75" x14ac:dyDescent="0.25">
      <c r="A1" s="366"/>
      <c r="B1" s="367"/>
      <c r="C1" s="367"/>
      <c r="D1" s="367"/>
      <c r="E1" s="367"/>
      <c r="F1" s="367"/>
      <c r="G1" s="367"/>
      <c r="H1" s="2"/>
      <c r="I1" s="2"/>
      <c r="J1" s="2"/>
      <c r="K1" s="2"/>
      <c r="L1" s="2"/>
    </row>
    <row r="2" spans="1:12" ht="15.75" x14ac:dyDescent="0.25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</row>
    <row r="3" spans="1:12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.75" x14ac:dyDescent="0.25">
      <c r="A4" s="366" t="s">
        <v>0</v>
      </c>
      <c r="B4" s="367"/>
      <c r="C4" s="367"/>
      <c r="D4" s="367"/>
      <c r="E4" s="367"/>
      <c r="F4" s="367"/>
      <c r="G4" s="367"/>
      <c r="H4" s="2"/>
      <c r="I4" s="2"/>
      <c r="J4" s="2"/>
      <c r="K4" s="2"/>
      <c r="L4" s="2"/>
    </row>
    <row r="5" spans="1:12" ht="15.75" x14ac:dyDescent="0.25">
      <c r="A5" s="1"/>
      <c r="B5" s="1"/>
      <c r="C5" s="1"/>
      <c r="D5" s="1"/>
      <c r="E5" s="1"/>
      <c r="F5" s="1"/>
      <c r="G5" s="3"/>
      <c r="H5" s="2"/>
      <c r="I5" s="2"/>
      <c r="J5" s="2"/>
      <c r="K5" s="2"/>
      <c r="L5" s="2"/>
    </row>
    <row r="6" spans="1:12" ht="15.75" x14ac:dyDescent="0.2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</row>
    <row r="7" spans="1:12" ht="15.75" x14ac:dyDescent="0.25">
      <c r="A7" s="2" t="s">
        <v>1</v>
      </c>
      <c r="B7" s="368" t="s">
        <v>103</v>
      </c>
      <c r="C7" s="369"/>
      <c r="D7" s="369"/>
      <c r="E7" s="369"/>
      <c r="F7" s="369"/>
      <c r="G7" s="369"/>
      <c r="H7" s="2"/>
      <c r="I7" s="2"/>
      <c r="J7" s="2"/>
      <c r="K7" s="2"/>
      <c r="L7" s="2"/>
    </row>
    <row r="8" spans="1:12" ht="15.7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6.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6.5" thickBot="1" x14ac:dyDescent="0.3">
      <c r="A10" s="4"/>
      <c r="B10" s="5"/>
      <c r="C10" s="6"/>
      <c r="D10" s="7"/>
      <c r="E10" s="7"/>
      <c r="F10" s="8" t="s">
        <v>2</v>
      </c>
      <c r="G10" s="9"/>
      <c r="H10" s="2"/>
      <c r="I10" s="370"/>
      <c r="J10" s="367"/>
      <c r="K10" s="367"/>
      <c r="L10" s="2"/>
    </row>
    <row r="11" spans="1:12" ht="16.5" thickBot="1" x14ac:dyDescent="0.3">
      <c r="A11" s="371" t="s">
        <v>3</v>
      </c>
      <c r="B11" s="367"/>
      <c r="C11" s="372"/>
      <c r="D11" s="10" t="s">
        <v>4</v>
      </c>
      <c r="E11" s="10" t="s">
        <v>5</v>
      </c>
      <c r="F11" s="373" t="s">
        <v>6</v>
      </c>
      <c r="G11" s="374"/>
      <c r="H11" s="2"/>
      <c r="I11" s="2"/>
      <c r="J11" s="2"/>
      <c r="K11" s="2"/>
      <c r="L11" s="2"/>
    </row>
    <row r="12" spans="1:12" ht="16.5" thickBot="1" x14ac:dyDescent="0.3">
      <c r="A12" s="11"/>
      <c r="B12" s="2"/>
      <c r="C12" s="12"/>
      <c r="D12" s="13"/>
      <c r="E12" s="13"/>
      <c r="F12" s="4" t="s">
        <v>7</v>
      </c>
      <c r="G12" s="14" t="s">
        <v>8</v>
      </c>
      <c r="H12" s="4" t="s">
        <v>9</v>
      </c>
      <c r="I12" s="4" t="s">
        <v>10</v>
      </c>
      <c r="J12" s="375" t="s">
        <v>11</v>
      </c>
      <c r="K12" s="376"/>
      <c r="L12" s="374"/>
    </row>
    <row r="13" spans="1:12" ht="15.75" x14ac:dyDescent="0.25">
      <c r="A13" s="386" t="s">
        <v>72</v>
      </c>
      <c r="B13" s="378"/>
      <c r="C13" s="379"/>
      <c r="D13" s="15">
        <v>40</v>
      </c>
      <c r="E13" s="16" t="s">
        <v>12</v>
      </c>
      <c r="F13" s="17" t="s">
        <v>182</v>
      </c>
      <c r="G13" s="18">
        <v>1368</v>
      </c>
      <c r="H13" s="19">
        <f>D13*L13</f>
        <v>40</v>
      </c>
      <c r="I13" s="20">
        <v>1368</v>
      </c>
      <c r="J13" s="21" t="s">
        <v>13</v>
      </c>
      <c r="K13" s="22"/>
      <c r="L13" s="23">
        <v>1</v>
      </c>
    </row>
    <row r="14" spans="1:12" ht="15.75" x14ac:dyDescent="0.25">
      <c r="A14" s="363" t="s">
        <v>104</v>
      </c>
      <c r="B14" s="364"/>
      <c r="C14" s="365"/>
      <c r="D14" s="24">
        <v>20</v>
      </c>
      <c r="E14" s="25" t="s">
        <v>12</v>
      </c>
      <c r="F14" s="26" t="s">
        <v>183</v>
      </c>
      <c r="G14" s="27">
        <v>24</v>
      </c>
      <c r="H14" s="28">
        <f>D14*L13</f>
        <v>20</v>
      </c>
      <c r="I14" s="29">
        <v>24</v>
      </c>
      <c r="J14" s="30" t="s">
        <v>14</v>
      </c>
      <c r="K14" s="31"/>
      <c r="L14" s="32">
        <f>SUM(I13:I21)</f>
        <v>2149</v>
      </c>
    </row>
    <row r="15" spans="1:12" ht="15.75" x14ac:dyDescent="0.25">
      <c r="A15" s="363" t="s">
        <v>62</v>
      </c>
      <c r="B15" s="364"/>
      <c r="C15" s="365"/>
      <c r="D15" s="24">
        <v>25</v>
      </c>
      <c r="E15" s="25" t="s">
        <v>12</v>
      </c>
      <c r="F15" s="26" t="s">
        <v>184</v>
      </c>
      <c r="G15" s="27">
        <v>357</v>
      </c>
      <c r="H15" s="28">
        <f>D15*L13</f>
        <v>25</v>
      </c>
      <c r="I15" s="29">
        <v>357</v>
      </c>
      <c r="J15" s="380" t="s">
        <v>15</v>
      </c>
      <c r="K15" s="381"/>
      <c r="L15" s="34">
        <f>G28*L13</f>
        <v>0</v>
      </c>
    </row>
    <row r="16" spans="1:12" ht="15.75" x14ac:dyDescent="0.25">
      <c r="A16" s="363" t="s">
        <v>49</v>
      </c>
      <c r="B16" s="364"/>
      <c r="C16" s="365"/>
      <c r="D16" s="24">
        <v>20</v>
      </c>
      <c r="E16" s="25" t="s">
        <v>12</v>
      </c>
      <c r="F16" s="26" t="s">
        <v>149</v>
      </c>
      <c r="G16" s="27">
        <v>120</v>
      </c>
      <c r="H16" s="28">
        <f>D16*L13</f>
        <v>20</v>
      </c>
      <c r="I16" s="29">
        <v>120</v>
      </c>
      <c r="J16" s="2"/>
      <c r="K16" s="2"/>
      <c r="L16" s="2"/>
    </row>
    <row r="17" spans="1:12" ht="15.75" x14ac:dyDescent="0.25">
      <c r="A17" s="363" t="s">
        <v>105</v>
      </c>
      <c r="B17" s="364"/>
      <c r="C17" s="365"/>
      <c r="D17" s="24">
        <v>10</v>
      </c>
      <c r="E17" s="25" t="s">
        <v>12</v>
      </c>
      <c r="F17" s="26" t="s">
        <v>185</v>
      </c>
      <c r="G17" s="27">
        <v>100</v>
      </c>
      <c r="H17" s="28">
        <f>D17*L13</f>
        <v>10</v>
      </c>
      <c r="I17" s="29">
        <v>100</v>
      </c>
      <c r="J17" s="2"/>
      <c r="K17" s="2"/>
      <c r="L17" s="2"/>
    </row>
    <row r="18" spans="1:12" ht="15.75" x14ac:dyDescent="0.25">
      <c r="A18" s="363" t="s">
        <v>42</v>
      </c>
      <c r="B18" s="364"/>
      <c r="C18" s="365"/>
      <c r="D18" s="24">
        <v>2</v>
      </c>
      <c r="E18" s="25" t="s">
        <v>12</v>
      </c>
      <c r="F18" s="26" t="s">
        <v>135</v>
      </c>
      <c r="G18" s="27">
        <v>22</v>
      </c>
      <c r="H18" s="28">
        <f>D18*L13</f>
        <v>2</v>
      </c>
      <c r="I18" s="29">
        <v>22</v>
      </c>
      <c r="J18" s="2"/>
      <c r="K18" s="2"/>
      <c r="L18" s="2"/>
    </row>
    <row r="19" spans="1:12" ht="15.75" x14ac:dyDescent="0.25">
      <c r="A19" s="394" t="s">
        <v>40</v>
      </c>
      <c r="B19" s="364"/>
      <c r="C19" s="365"/>
      <c r="D19" s="35">
        <v>2</v>
      </c>
      <c r="E19" s="36" t="s">
        <v>12</v>
      </c>
      <c r="F19" s="37" t="s">
        <v>164</v>
      </c>
      <c r="G19" s="27">
        <v>5</v>
      </c>
      <c r="H19" s="28">
        <f>D19*L13</f>
        <v>2</v>
      </c>
      <c r="I19" s="29">
        <v>5</v>
      </c>
      <c r="J19" s="2"/>
      <c r="K19" s="2"/>
      <c r="L19" s="2"/>
    </row>
    <row r="20" spans="1:12" ht="15.75" x14ac:dyDescent="0.25">
      <c r="A20" s="394" t="s">
        <v>106</v>
      </c>
      <c r="B20" s="364"/>
      <c r="C20" s="365"/>
      <c r="D20" s="35">
        <v>1</v>
      </c>
      <c r="E20" s="36" t="s">
        <v>12</v>
      </c>
      <c r="F20" s="37" t="s">
        <v>174</v>
      </c>
      <c r="G20" s="27">
        <v>58</v>
      </c>
      <c r="H20" s="28">
        <f>D20*L13</f>
        <v>1</v>
      </c>
      <c r="I20" s="29">
        <v>58</v>
      </c>
      <c r="J20" s="2"/>
      <c r="K20" s="2"/>
      <c r="L20" s="2"/>
    </row>
    <row r="21" spans="1:12" ht="15.75" x14ac:dyDescent="0.25">
      <c r="A21" s="390" t="s">
        <v>107</v>
      </c>
      <c r="B21" s="364"/>
      <c r="C21" s="365"/>
      <c r="D21" s="38">
        <v>3</v>
      </c>
      <c r="E21" s="36" t="s">
        <v>108</v>
      </c>
      <c r="F21" s="39" t="s">
        <v>186</v>
      </c>
      <c r="G21" s="27">
        <v>95</v>
      </c>
      <c r="H21" s="28">
        <f>D21*L13</f>
        <v>3</v>
      </c>
      <c r="I21" s="29">
        <v>95</v>
      </c>
      <c r="J21" s="2"/>
      <c r="K21" s="2"/>
      <c r="L21" s="2"/>
    </row>
    <row r="22" spans="1:12" ht="16.5" thickBot="1" x14ac:dyDescent="0.3">
      <c r="A22" s="414"/>
      <c r="B22" s="415"/>
      <c r="C22" s="416"/>
      <c r="D22" s="44"/>
      <c r="E22" s="45"/>
      <c r="F22" s="46"/>
      <c r="G22" s="47">
        <f t="shared" ref="G22" si="0">D22*F22</f>
        <v>0</v>
      </c>
      <c r="H22" s="48">
        <f>D22*L13</f>
        <v>0</v>
      </c>
      <c r="I22" s="49">
        <f t="shared" ref="I22" si="1">F22*H22</f>
        <v>0</v>
      </c>
      <c r="J22" s="2"/>
      <c r="K22" s="2"/>
      <c r="L22" s="2"/>
    </row>
    <row r="23" spans="1:12" ht="15.75" x14ac:dyDescent="0.25">
      <c r="A23" s="50" t="s">
        <v>16</v>
      </c>
      <c r="B23" s="51"/>
      <c r="C23" s="51"/>
      <c r="D23" s="52"/>
      <c r="E23" s="52"/>
      <c r="F23" s="53"/>
      <c r="G23" s="20">
        <f>SUM(G13:G22)</f>
        <v>2149</v>
      </c>
      <c r="H23" s="2"/>
      <c r="I23" s="2"/>
      <c r="J23" s="2"/>
      <c r="K23" s="2"/>
      <c r="L23" s="2"/>
    </row>
    <row r="24" spans="1:12" ht="15.75" x14ac:dyDescent="0.25">
      <c r="A24" s="54" t="s">
        <v>17</v>
      </c>
      <c r="B24" s="55"/>
      <c r="C24" s="55"/>
      <c r="D24" s="56"/>
      <c r="E24" s="56"/>
      <c r="F24" s="57"/>
      <c r="G24" s="29">
        <f>G23*0.1</f>
        <v>214.9</v>
      </c>
      <c r="H24" s="2"/>
      <c r="I24" s="2"/>
      <c r="J24" s="2"/>
      <c r="K24" s="2"/>
      <c r="L24" s="2"/>
    </row>
    <row r="25" spans="1:12" ht="16.5" thickBot="1" x14ac:dyDescent="0.3">
      <c r="A25" s="54" t="s">
        <v>18</v>
      </c>
      <c r="B25" s="55"/>
      <c r="C25" s="55"/>
      <c r="D25" s="56"/>
      <c r="E25" s="56"/>
      <c r="F25" s="58"/>
      <c r="G25" s="29">
        <f>SUM(G23:G24)</f>
        <v>2363.9</v>
      </c>
      <c r="H25" s="2"/>
      <c r="I25" s="2"/>
      <c r="J25" s="2"/>
      <c r="K25" s="2"/>
      <c r="L25" s="2"/>
    </row>
    <row r="26" spans="1:12" ht="15.75" x14ac:dyDescent="0.25">
      <c r="A26" s="59" t="s">
        <v>19</v>
      </c>
      <c r="B26" s="33"/>
      <c r="C26" s="33"/>
      <c r="D26" s="60"/>
      <c r="E26" s="60"/>
      <c r="F26" s="61">
        <v>1</v>
      </c>
      <c r="G26" s="27">
        <f>G25/F26</f>
        <v>2363.9</v>
      </c>
      <c r="H26" s="2"/>
      <c r="I26" s="2"/>
      <c r="J26" s="2"/>
      <c r="K26" s="2"/>
      <c r="L26" s="2"/>
    </row>
    <row r="27" spans="1:12" ht="15.75" x14ac:dyDescent="0.25">
      <c r="A27" s="382" t="s">
        <v>20</v>
      </c>
      <c r="B27" s="364"/>
      <c r="C27" s="364"/>
      <c r="D27" s="364"/>
      <c r="E27" s="364"/>
      <c r="F27" s="365"/>
      <c r="G27" s="62" t="e">
        <f>G26/G28</f>
        <v>#DIV/0!</v>
      </c>
      <c r="H27" s="2"/>
      <c r="I27" s="2"/>
      <c r="J27" s="2"/>
      <c r="K27" s="2"/>
      <c r="L27" s="2"/>
    </row>
    <row r="28" spans="1:12" ht="15.75" x14ac:dyDescent="0.25">
      <c r="A28" s="382" t="s">
        <v>21</v>
      </c>
      <c r="B28" s="364"/>
      <c r="C28" s="364"/>
      <c r="D28" s="364"/>
      <c r="E28" s="364"/>
      <c r="F28" s="365"/>
      <c r="G28" s="29"/>
      <c r="H28" s="2"/>
      <c r="I28" s="2"/>
      <c r="J28" s="2"/>
      <c r="K28" s="2"/>
      <c r="L28" s="2"/>
    </row>
    <row r="29" spans="1:12" ht="15.75" x14ac:dyDescent="0.25">
      <c r="A29" s="382" t="s">
        <v>22</v>
      </c>
      <c r="B29" s="364"/>
      <c r="C29" s="364"/>
      <c r="D29" s="364"/>
      <c r="E29" s="364"/>
      <c r="F29" s="365"/>
      <c r="G29" s="29">
        <f>G28*0.08</f>
        <v>0</v>
      </c>
      <c r="H29" s="2"/>
      <c r="I29" s="2"/>
      <c r="J29" s="2"/>
      <c r="K29" s="2"/>
      <c r="L29" s="2"/>
    </row>
    <row r="30" spans="1:12" ht="15.75" x14ac:dyDescent="0.25">
      <c r="A30" s="382" t="s">
        <v>23</v>
      </c>
      <c r="B30" s="364"/>
      <c r="C30" s="364"/>
      <c r="D30" s="364"/>
      <c r="E30" s="364"/>
      <c r="F30" s="365"/>
      <c r="G30" s="29">
        <f>G29+G28</f>
        <v>0</v>
      </c>
      <c r="H30" s="2"/>
      <c r="I30" s="2"/>
      <c r="J30" s="2"/>
      <c r="K30" s="2"/>
      <c r="L30" s="2"/>
    </row>
    <row r="31" spans="1:12" ht="15.75" x14ac:dyDescent="0.25">
      <c r="A31" s="382" t="s">
        <v>24</v>
      </c>
      <c r="B31" s="364"/>
      <c r="C31" s="364"/>
      <c r="D31" s="364"/>
      <c r="E31" s="364"/>
      <c r="F31" s="365"/>
      <c r="G31" s="29">
        <f>G30</f>
        <v>0</v>
      </c>
      <c r="H31" s="2"/>
      <c r="I31" s="2"/>
      <c r="J31" s="2"/>
      <c r="K31" s="2"/>
      <c r="L31" s="2"/>
    </row>
    <row r="32" spans="1:12" ht="16.5" thickBot="1" x14ac:dyDescent="0.3">
      <c r="A32" s="383" t="s">
        <v>25</v>
      </c>
      <c r="B32" s="384"/>
      <c r="C32" s="384"/>
      <c r="D32" s="384"/>
      <c r="E32" s="384"/>
      <c r="F32" s="385"/>
      <c r="G32" s="63" t="e">
        <f>(G26+G29)/G31</f>
        <v>#DIV/0!</v>
      </c>
      <c r="H32" s="2"/>
      <c r="I32" s="2"/>
      <c r="J32" s="2"/>
      <c r="K32" s="2"/>
      <c r="L32" s="2"/>
    </row>
    <row r="33" spans="1:12" ht="15.7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x14ac:dyDescent="0.25">
      <c r="A34" s="366" t="s">
        <v>0</v>
      </c>
      <c r="B34" s="367"/>
      <c r="C34" s="367"/>
      <c r="D34" s="367"/>
      <c r="E34" s="367"/>
      <c r="F34" s="367"/>
      <c r="G34" s="367"/>
      <c r="H34" s="2"/>
      <c r="I34" s="2"/>
      <c r="J34" s="2"/>
      <c r="K34" s="2"/>
      <c r="L34" s="2"/>
    </row>
    <row r="35" spans="1:12" ht="15.75" x14ac:dyDescent="0.25">
      <c r="A35" s="1"/>
      <c r="B35" s="1"/>
      <c r="C35" s="1"/>
      <c r="D35" s="1"/>
      <c r="E35" s="1"/>
      <c r="F35" s="1"/>
      <c r="G35" s="3"/>
      <c r="H35" s="2"/>
      <c r="I35" s="2"/>
      <c r="J35" s="2"/>
      <c r="K35" s="2"/>
      <c r="L35" s="2"/>
    </row>
    <row r="36" spans="1:12" ht="15.75" x14ac:dyDescent="0.25">
      <c r="A36" s="1"/>
      <c r="B36" s="1"/>
      <c r="C36" s="1"/>
      <c r="D36" s="1"/>
      <c r="E36" s="1"/>
      <c r="F36" s="1"/>
      <c r="G36" s="2"/>
      <c r="H36" s="2"/>
      <c r="I36" s="2"/>
      <c r="J36" s="2"/>
      <c r="K36" s="2"/>
      <c r="L36" s="2"/>
    </row>
    <row r="37" spans="1:12" ht="15.75" x14ac:dyDescent="0.25">
      <c r="A37" s="2" t="s">
        <v>1</v>
      </c>
      <c r="B37" s="368" t="s">
        <v>202</v>
      </c>
      <c r="C37" s="369"/>
      <c r="D37" s="369"/>
      <c r="E37" s="369"/>
      <c r="F37" s="369"/>
      <c r="G37" s="369"/>
      <c r="H37" s="2"/>
      <c r="I37" s="2"/>
      <c r="J37" s="2"/>
      <c r="K37" s="2"/>
      <c r="L37" s="2"/>
    </row>
    <row r="38" spans="1:12" ht="15.7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6.5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6.5" thickBot="1" x14ac:dyDescent="0.3">
      <c r="A40" s="4"/>
      <c r="B40" s="5"/>
      <c r="C40" s="6"/>
      <c r="D40" s="7"/>
      <c r="E40" s="7"/>
      <c r="F40" s="8" t="s">
        <v>2</v>
      </c>
      <c r="G40" s="9"/>
      <c r="H40" s="2"/>
      <c r="I40" s="370"/>
      <c r="J40" s="367"/>
      <c r="K40" s="367"/>
      <c r="L40" s="2"/>
    </row>
    <row r="41" spans="1:12" ht="16.5" thickBot="1" x14ac:dyDescent="0.3">
      <c r="A41" s="371" t="s">
        <v>3</v>
      </c>
      <c r="B41" s="367"/>
      <c r="C41" s="372"/>
      <c r="D41" s="10" t="s">
        <v>4</v>
      </c>
      <c r="E41" s="10" t="s">
        <v>5</v>
      </c>
      <c r="F41" s="373" t="s">
        <v>6</v>
      </c>
      <c r="G41" s="374"/>
      <c r="H41" s="2"/>
      <c r="I41" s="2"/>
      <c r="J41" s="2"/>
      <c r="K41" s="2"/>
      <c r="L41" s="2"/>
    </row>
    <row r="42" spans="1:12" ht="16.5" thickBot="1" x14ac:dyDescent="0.3">
      <c r="A42" s="11"/>
      <c r="B42" s="2"/>
      <c r="C42" s="12"/>
      <c r="D42" s="13"/>
      <c r="E42" s="13"/>
      <c r="F42" s="4" t="s">
        <v>7</v>
      </c>
      <c r="G42" s="14" t="s">
        <v>8</v>
      </c>
      <c r="H42" s="4" t="s">
        <v>9</v>
      </c>
      <c r="I42" s="4" t="s">
        <v>10</v>
      </c>
      <c r="J42" s="375" t="s">
        <v>11</v>
      </c>
      <c r="K42" s="376"/>
      <c r="L42" s="374"/>
    </row>
    <row r="43" spans="1:12" ht="15.75" x14ac:dyDescent="0.25">
      <c r="A43" s="386" t="s">
        <v>109</v>
      </c>
      <c r="B43" s="378"/>
      <c r="C43" s="379"/>
      <c r="D43" s="15">
        <v>250</v>
      </c>
      <c r="E43" s="16" t="s">
        <v>12</v>
      </c>
      <c r="F43" s="17" t="s">
        <v>198</v>
      </c>
      <c r="G43" s="18">
        <v>3540</v>
      </c>
      <c r="H43" s="19">
        <f>D43*L43</f>
        <v>250</v>
      </c>
      <c r="I43" s="20">
        <v>3540</v>
      </c>
      <c r="J43" s="21" t="s">
        <v>13</v>
      </c>
      <c r="K43" s="22"/>
      <c r="L43" s="23">
        <v>1</v>
      </c>
    </row>
    <row r="44" spans="1:12" ht="15.75" x14ac:dyDescent="0.25">
      <c r="A44" s="363" t="s">
        <v>40</v>
      </c>
      <c r="B44" s="364"/>
      <c r="C44" s="365"/>
      <c r="D44" s="24">
        <v>5</v>
      </c>
      <c r="E44" s="25" t="s">
        <v>12</v>
      </c>
      <c r="F44" s="26" t="s">
        <v>199</v>
      </c>
      <c r="G44" s="27">
        <v>13</v>
      </c>
      <c r="H44" s="28">
        <f>D44*L43</f>
        <v>5</v>
      </c>
      <c r="I44" s="29">
        <v>13</v>
      </c>
      <c r="J44" s="30" t="s">
        <v>14</v>
      </c>
      <c r="K44" s="31"/>
      <c r="L44" s="32">
        <f>SUM(I43:I46)</f>
        <v>3691</v>
      </c>
    </row>
    <row r="45" spans="1:12" ht="15.75" x14ac:dyDescent="0.25">
      <c r="A45" s="363" t="s">
        <v>41</v>
      </c>
      <c r="B45" s="364"/>
      <c r="C45" s="365"/>
      <c r="D45" s="24">
        <v>2</v>
      </c>
      <c r="E45" s="25" t="s">
        <v>12</v>
      </c>
      <c r="F45" s="26" t="s">
        <v>174</v>
      </c>
      <c r="G45" s="27">
        <v>116</v>
      </c>
      <c r="H45" s="28">
        <f>D45*L43</f>
        <v>2</v>
      </c>
      <c r="I45" s="29">
        <v>116</v>
      </c>
      <c r="J45" s="380" t="s">
        <v>15</v>
      </c>
      <c r="K45" s="381"/>
      <c r="L45" s="34">
        <f>G53*L43</f>
        <v>0</v>
      </c>
    </row>
    <row r="46" spans="1:12" ht="15.75" x14ac:dyDescent="0.25">
      <c r="A46" s="363" t="s">
        <v>35</v>
      </c>
      <c r="B46" s="364"/>
      <c r="C46" s="365"/>
      <c r="D46" s="24">
        <v>2</v>
      </c>
      <c r="E46" s="25" t="s">
        <v>12</v>
      </c>
      <c r="F46" s="26" t="s">
        <v>135</v>
      </c>
      <c r="G46" s="27">
        <v>22</v>
      </c>
      <c r="H46" s="28">
        <f>D46*L43</f>
        <v>2</v>
      </c>
      <c r="I46" s="29">
        <v>22</v>
      </c>
      <c r="J46" s="2"/>
      <c r="K46" s="2"/>
      <c r="L46" s="2"/>
    </row>
    <row r="47" spans="1:12" ht="16.5" thickBot="1" x14ac:dyDescent="0.3">
      <c r="A47" s="414"/>
      <c r="B47" s="415"/>
      <c r="C47" s="416"/>
      <c r="D47" s="44"/>
      <c r="E47" s="45"/>
      <c r="F47" s="46"/>
      <c r="G47" s="47">
        <f>D47*F47</f>
        <v>0</v>
      </c>
      <c r="H47" s="48">
        <f>D47*L43</f>
        <v>0</v>
      </c>
      <c r="I47" s="49">
        <f>F47*H47</f>
        <v>0</v>
      </c>
      <c r="J47" s="2"/>
      <c r="K47" s="2"/>
      <c r="L47" s="2"/>
    </row>
    <row r="48" spans="1:12" ht="15.75" x14ac:dyDescent="0.25">
      <c r="A48" s="50" t="s">
        <v>16</v>
      </c>
      <c r="B48" s="51"/>
      <c r="C48" s="51"/>
      <c r="D48" s="52"/>
      <c r="E48" s="52"/>
      <c r="F48" s="53"/>
      <c r="G48" s="20">
        <f>SUM(G43:G47)</f>
        <v>3691</v>
      </c>
      <c r="H48" s="2"/>
      <c r="I48" s="2"/>
      <c r="J48" s="2"/>
      <c r="K48" s="2"/>
      <c r="L48" s="2"/>
    </row>
    <row r="49" spans="1:12" ht="15.75" x14ac:dyDescent="0.25">
      <c r="A49" s="54" t="s">
        <v>17</v>
      </c>
      <c r="B49" s="55"/>
      <c r="C49" s="55"/>
      <c r="D49" s="56"/>
      <c r="E49" s="56"/>
      <c r="F49" s="57"/>
      <c r="G49" s="29">
        <f>G48*0.1</f>
        <v>369.1</v>
      </c>
      <c r="H49" s="2"/>
      <c r="I49" s="2"/>
      <c r="J49" s="2"/>
      <c r="K49" s="2"/>
      <c r="L49" s="2"/>
    </row>
    <row r="50" spans="1:12" ht="16.5" thickBot="1" x14ac:dyDescent="0.3">
      <c r="A50" s="54" t="s">
        <v>18</v>
      </c>
      <c r="B50" s="55"/>
      <c r="C50" s="55"/>
      <c r="D50" s="56"/>
      <c r="E50" s="56"/>
      <c r="F50" s="58"/>
      <c r="G50" s="29">
        <f>SUM(G48:G49)</f>
        <v>4060.1</v>
      </c>
      <c r="H50" s="2"/>
      <c r="I50" s="2"/>
      <c r="J50" s="2"/>
      <c r="K50" s="2"/>
      <c r="L50" s="2"/>
    </row>
    <row r="51" spans="1:12" ht="15.75" x14ac:dyDescent="0.25">
      <c r="A51" s="59" t="s">
        <v>19</v>
      </c>
      <c r="B51" s="33"/>
      <c r="C51" s="33"/>
      <c r="D51" s="60"/>
      <c r="E51" s="60"/>
      <c r="F51" s="61">
        <v>1</v>
      </c>
      <c r="G51" s="27">
        <f>G50/F51</f>
        <v>4060.1</v>
      </c>
      <c r="H51" s="2"/>
      <c r="I51" s="2"/>
      <c r="J51" s="2"/>
      <c r="K51" s="2"/>
      <c r="L51" s="2"/>
    </row>
    <row r="52" spans="1:12" ht="15.75" x14ac:dyDescent="0.25">
      <c r="A52" s="382" t="s">
        <v>20</v>
      </c>
      <c r="B52" s="364"/>
      <c r="C52" s="364"/>
      <c r="D52" s="364"/>
      <c r="E52" s="364"/>
      <c r="F52" s="365"/>
      <c r="G52" s="62" t="e">
        <f>G51/G53</f>
        <v>#DIV/0!</v>
      </c>
      <c r="H52" s="2"/>
      <c r="I52" s="2"/>
      <c r="J52" s="2"/>
      <c r="K52" s="2"/>
      <c r="L52" s="2"/>
    </row>
    <row r="53" spans="1:12" ht="15.75" x14ac:dyDescent="0.25">
      <c r="A53" s="382" t="s">
        <v>21</v>
      </c>
      <c r="B53" s="364"/>
      <c r="C53" s="364"/>
      <c r="D53" s="364"/>
      <c r="E53" s="364"/>
      <c r="F53" s="365"/>
      <c r="G53" s="29"/>
      <c r="H53" s="2"/>
      <c r="I53" s="2"/>
      <c r="J53" s="2"/>
      <c r="K53" s="2"/>
      <c r="L53" s="2"/>
    </row>
    <row r="54" spans="1:12" ht="15.75" x14ac:dyDescent="0.25">
      <c r="A54" s="382" t="s">
        <v>22</v>
      </c>
      <c r="B54" s="364"/>
      <c r="C54" s="364"/>
      <c r="D54" s="364"/>
      <c r="E54" s="364"/>
      <c r="F54" s="365"/>
      <c r="G54" s="29">
        <f>G53*0.08</f>
        <v>0</v>
      </c>
      <c r="H54" s="2"/>
      <c r="I54" s="2"/>
      <c r="J54" s="2"/>
      <c r="K54" s="2"/>
      <c r="L54" s="2"/>
    </row>
    <row r="55" spans="1:12" ht="15.75" x14ac:dyDescent="0.25">
      <c r="A55" s="382" t="s">
        <v>23</v>
      </c>
      <c r="B55" s="364"/>
      <c r="C55" s="364"/>
      <c r="D55" s="364"/>
      <c r="E55" s="364"/>
      <c r="F55" s="365"/>
      <c r="G55" s="29">
        <f>G54+G53</f>
        <v>0</v>
      </c>
      <c r="H55" s="2"/>
      <c r="I55" s="2"/>
      <c r="J55" s="2"/>
      <c r="K55" s="2"/>
      <c r="L55" s="2"/>
    </row>
    <row r="56" spans="1:12" ht="15.75" x14ac:dyDescent="0.25">
      <c r="A56" s="382" t="s">
        <v>24</v>
      </c>
      <c r="B56" s="364"/>
      <c r="C56" s="364"/>
      <c r="D56" s="364"/>
      <c r="E56" s="364"/>
      <c r="F56" s="365"/>
      <c r="G56" s="29">
        <f>G55</f>
        <v>0</v>
      </c>
      <c r="H56" s="2"/>
      <c r="I56" s="2"/>
      <c r="J56" s="2"/>
      <c r="K56" s="2"/>
      <c r="L56" s="2"/>
    </row>
    <row r="57" spans="1:12" ht="16.5" thickBot="1" x14ac:dyDescent="0.3">
      <c r="A57" s="383" t="s">
        <v>25</v>
      </c>
      <c r="B57" s="384"/>
      <c r="C57" s="384"/>
      <c r="D57" s="384"/>
      <c r="E57" s="384"/>
      <c r="F57" s="385"/>
      <c r="G57" s="63" t="e">
        <f>(G51+G54)/G56</f>
        <v>#DIV/0!</v>
      </c>
      <c r="H57" s="2"/>
      <c r="I57" s="2"/>
      <c r="J57" s="2"/>
      <c r="K57" s="2"/>
      <c r="L57" s="2"/>
    </row>
    <row r="58" spans="1:12" ht="15.7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x14ac:dyDescent="0.25">
      <c r="A60" s="2" t="s">
        <v>1</v>
      </c>
      <c r="B60" s="368" t="s">
        <v>100</v>
      </c>
      <c r="C60" s="369"/>
      <c r="D60" s="369"/>
      <c r="E60" s="369"/>
      <c r="F60" s="369"/>
      <c r="G60" s="369"/>
      <c r="H60" s="2"/>
      <c r="I60" s="2"/>
      <c r="J60" s="2"/>
      <c r="K60" s="2"/>
      <c r="L60" s="2"/>
    </row>
    <row r="61" spans="1:12" ht="15.7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6.5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6.5" thickBot="1" x14ac:dyDescent="0.3">
      <c r="A63" s="4"/>
      <c r="B63" s="5"/>
      <c r="C63" s="6"/>
      <c r="D63" s="7"/>
      <c r="E63" s="7"/>
      <c r="F63" s="8" t="s">
        <v>2</v>
      </c>
      <c r="G63" s="9"/>
      <c r="H63" s="2"/>
      <c r="I63" s="370"/>
      <c r="J63" s="367"/>
      <c r="K63" s="367"/>
      <c r="L63" s="2"/>
    </row>
    <row r="64" spans="1:12" ht="16.5" thickBot="1" x14ac:dyDescent="0.3">
      <c r="A64" s="371" t="s">
        <v>3</v>
      </c>
      <c r="B64" s="367"/>
      <c r="C64" s="372"/>
      <c r="D64" s="10" t="s">
        <v>4</v>
      </c>
      <c r="E64" s="10" t="s">
        <v>5</v>
      </c>
      <c r="F64" s="373" t="s">
        <v>6</v>
      </c>
      <c r="G64" s="374"/>
      <c r="H64" s="2"/>
      <c r="I64" s="2"/>
      <c r="J64" s="2"/>
      <c r="K64" s="2"/>
      <c r="L64" s="2"/>
    </row>
    <row r="65" spans="1:12" ht="16.5" thickBot="1" x14ac:dyDescent="0.3">
      <c r="A65" s="11"/>
      <c r="B65" s="2"/>
      <c r="C65" s="12"/>
      <c r="D65" s="13"/>
      <c r="E65" s="13"/>
      <c r="F65" s="4" t="s">
        <v>7</v>
      </c>
      <c r="G65" s="14" t="s">
        <v>8</v>
      </c>
      <c r="H65" s="4" t="s">
        <v>9</v>
      </c>
      <c r="I65" s="4" t="s">
        <v>10</v>
      </c>
      <c r="J65" s="375" t="s">
        <v>11</v>
      </c>
      <c r="K65" s="376"/>
      <c r="L65" s="374"/>
    </row>
    <row r="66" spans="1:12" ht="15.75" x14ac:dyDescent="0.25">
      <c r="A66" s="386" t="s">
        <v>98</v>
      </c>
      <c r="B66" s="378"/>
      <c r="C66" s="379"/>
      <c r="D66" s="15">
        <v>200</v>
      </c>
      <c r="E66" s="16" t="s">
        <v>12</v>
      </c>
      <c r="F66" s="17" t="s">
        <v>176</v>
      </c>
      <c r="G66" s="18">
        <v>15000</v>
      </c>
      <c r="H66" s="19">
        <f>D66*L66</f>
        <v>200</v>
      </c>
      <c r="I66" s="20">
        <v>15000</v>
      </c>
      <c r="J66" s="21" t="s">
        <v>13</v>
      </c>
      <c r="K66" s="22"/>
      <c r="L66" s="23">
        <v>1</v>
      </c>
    </row>
    <row r="67" spans="1:12" ht="15.75" x14ac:dyDescent="0.25">
      <c r="A67" s="363" t="s">
        <v>40</v>
      </c>
      <c r="B67" s="364"/>
      <c r="C67" s="365"/>
      <c r="D67" s="24">
        <v>2</v>
      </c>
      <c r="E67" s="25" t="s">
        <v>12</v>
      </c>
      <c r="F67" s="26" t="s">
        <v>173</v>
      </c>
      <c r="G67" s="27">
        <v>5</v>
      </c>
      <c r="H67" s="28">
        <f>D67*L66</f>
        <v>2</v>
      </c>
      <c r="I67" s="29">
        <v>5</v>
      </c>
      <c r="J67" s="30" t="s">
        <v>14</v>
      </c>
      <c r="K67" s="31"/>
      <c r="L67" s="32">
        <f>SUM(I66:I70)</f>
        <v>15005</v>
      </c>
    </row>
    <row r="68" spans="1:12" ht="15.75" x14ac:dyDescent="0.25">
      <c r="A68" s="363" t="s">
        <v>41</v>
      </c>
      <c r="B68" s="364"/>
      <c r="C68" s="365"/>
      <c r="D68" s="24">
        <v>1</v>
      </c>
      <c r="E68" s="25" t="s">
        <v>12</v>
      </c>
      <c r="F68" s="26" t="s">
        <v>174</v>
      </c>
      <c r="G68" s="27" t="s">
        <v>177</v>
      </c>
      <c r="H68" s="28">
        <f>D68*L66</f>
        <v>1</v>
      </c>
      <c r="I68" s="29" t="s">
        <v>178</v>
      </c>
      <c r="J68" s="380" t="s">
        <v>15</v>
      </c>
      <c r="K68" s="381"/>
      <c r="L68" s="34">
        <f>G76*L66</f>
        <v>0</v>
      </c>
    </row>
    <row r="69" spans="1:12" ht="15.75" x14ac:dyDescent="0.25">
      <c r="A69" s="363" t="s">
        <v>101</v>
      </c>
      <c r="B69" s="364"/>
      <c r="C69" s="365"/>
      <c r="D69" s="24">
        <v>2</v>
      </c>
      <c r="E69" s="25" t="s">
        <v>102</v>
      </c>
      <c r="F69" s="26" t="s">
        <v>175</v>
      </c>
      <c r="G69" s="27" t="s">
        <v>179</v>
      </c>
      <c r="H69" s="28">
        <f>D69*L66</f>
        <v>2</v>
      </c>
      <c r="I69" s="29" t="s">
        <v>180</v>
      </c>
      <c r="J69" s="2"/>
      <c r="K69" s="2"/>
      <c r="L69" s="2"/>
    </row>
    <row r="70" spans="1:12" ht="16.5" thickBot="1" x14ac:dyDescent="0.3">
      <c r="A70" s="363"/>
      <c r="B70" s="364"/>
      <c r="C70" s="365"/>
      <c r="D70" s="24"/>
      <c r="E70" s="25"/>
      <c r="F70" s="26"/>
      <c r="G70" s="27">
        <f>D70*F70</f>
        <v>0</v>
      </c>
      <c r="H70" s="28">
        <f>D70*L66</f>
        <v>0</v>
      </c>
      <c r="I70" s="29">
        <f>F70*H70</f>
        <v>0</v>
      </c>
      <c r="J70" s="2"/>
      <c r="K70" s="2"/>
      <c r="L70" s="2"/>
    </row>
    <row r="71" spans="1:12" ht="15.75" x14ac:dyDescent="0.25">
      <c r="A71" s="50" t="s">
        <v>16</v>
      </c>
      <c r="B71" s="51"/>
      <c r="C71" s="51"/>
      <c r="D71" s="52"/>
      <c r="E71" s="52"/>
      <c r="F71" s="53"/>
      <c r="G71" s="20">
        <f>SUM(G66:G70)</f>
        <v>15005</v>
      </c>
      <c r="H71" s="2"/>
      <c r="I71" s="2"/>
      <c r="J71" s="2"/>
      <c r="K71" s="2"/>
      <c r="L71" s="2"/>
    </row>
    <row r="72" spans="1:12" ht="15.75" x14ac:dyDescent="0.25">
      <c r="A72" s="54" t="s">
        <v>17</v>
      </c>
      <c r="B72" s="55"/>
      <c r="C72" s="55"/>
      <c r="D72" s="56"/>
      <c r="E72" s="56"/>
      <c r="F72" s="57"/>
      <c r="G72" s="29">
        <f>G71*0.1</f>
        <v>1500.5</v>
      </c>
      <c r="H72" s="2"/>
      <c r="I72" s="2"/>
      <c r="J72" s="2"/>
      <c r="K72" s="2"/>
      <c r="L72" s="2"/>
    </row>
    <row r="73" spans="1:12" ht="16.5" thickBot="1" x14ac:dyDescent="0.3">
      <c r="A73" s="54" t="s">
        <v>18</v>
      </c>
      <c r="B73" s="55"/>
      <c r="C73" s="55"/>
      <c r="D73" s="56"/>
      <c r="E73" s="56"/>
      <c r="F73" s="58"/>
      <c r="G73" s="29">
        <f>SUM(G71:G72)</f>
        <v>16505.5</v>
      </c>
      <c r="H73" s="2"/>
      <c r="I73" s="2"/>
      <c r="J73" s="2"/>
      <c r="K73" s="2"/>
      <c r="L73" s="2"/>
    </row>
    <row r="74" spans="1:12" ht="15.75" x14ac:dyDescent="0.25">
      <c r="A74" s="59" t="s">
        <v>19</v>
      </c>
      <c r="B74" s="33"/>
      <c r="C74" s="33"/>
      <c r="D74" s="60"/>
      <c r="E74" s="60"/>
      <c r="F74" s="61">
        <v>1</v>
      </c>
      <c r="G74" s="27">
        <f>G73/F74</f>
        <v>16505.5</v>
      </c>
      <c r="H74" s="2"/>
      <c r="I74" s="2"/>
      <c r="J74" s="2"/>
      <c r="K74" s="2"/>
      <c r="L74" s="2"/>
    </row>
    <row r="75" spans="1:12" ht="15.75" x14ac:dyDescent="0.25">
      <c r="A75" s="382" t="s">
        <v>20</v>
      </c>
      <c r="B75" s="364"/>
      <c r="C75" s="364"/>
      <c r="D75" s="364"/>
      <c r="E75" s="364"/>
      <c r="F75" s="365"/>
      <c r="G75" s="62" t="e">
        <f>G74/G76</f>
        <v>#DIV/0!</v>
      </c>
      <c r="H75" s="2"/>
      <c r="I75" s="2"/>
      <c r="J75" s="2"/>
      <c r="K75" s="2"/>
      <c r="L75" s="2"/>
    </row>
    <row r="76" spans="1:12" ht="15.75" x14ac:dyDescent="0.25">
      <c r="A76" s="382" t="s">
        <v>21</v>
      </c>
      <c r="B76" s="364"/>
      <c r="C76" s="364"/>
      <c r="D76" s="364"/>
      <c r="E76" s="364"/>
      <c r="F76" s="365"/>
      <c r="G76" s="29"/>
      <c r="H76" s="2"/>
      <c r="I76" s="2"/>
      <c r="J76" s="2"/>
      <c r="K76" s="2"/>
      <c r="L76" s="2"/>
    </row>
    <row r="77" spans="1:12" ht="15.75" x14ac:dyDescent="0.25">
      <c r="A77" s="382" t="s">
        <v>22</v>
      </c>
      <c r="B77" s="364"/>
      <c r="C77" s="364"/>
      <c r="D77" s="364"/>
      <c r="E77" s="364"/>
      <c r="F77" s="365"/>
      <c r="G77" s="29">
        <f>G76*0.08</f>
        <v>0</v>
      </c>
      <c r="H77" s="2"/>
      <c r="I77" s="2"/>
      <c r="J77" s="2"/>
      <c r="K77" s="2"/>
      <c r="L77" s="2"/>
    </row>
    <row r="78" spans="1:12" ht="15.75" x14ac:dyDescent="0.25">
      <c r="A78" s="382" t="s">
        <v>23</v>
      </c>
      <c r="B78" s="364"/>
      <c r="C78" s="364"/>
      <c r="D78" s="364"/>
      <c r="E78" s="364"/>
      <c r="F78" s="365"/>
      <c r="G78" s="29">
        <f>G77+G76</f>
        <v>0</v>
      </c>
      <c r="H78" s="2"/>
      <c r="I78" s="2"/>
      <c r="J78" s="2"/>
      <c r="K78" s="2"/>
      <c r="L78" s="2"/>
    </row>
    <row r="79" spans="1:12" ht="15.75" x14ac:dyDescent="0.25">
      <c r="A79" s="382" t="s">
        <v>24</v>
      </c>
      <c r="B79" s="364"/>
      <c r="C79" s="364"/>
      <c r="D79" s="364"/>
      <c r="E79" s="364"/>
      <c r="F79" s="365"/>
      <c r="G79" s="29">
        <f>G78</f>
        <v>0</v>
      </c>
      <c r="H79" s="2"/>
      <c r="I79" s="2"/>
      <c r="J79" s="2"/>
      <c r="K79" s="2"/>
      <c r="L79" s="2"/>
    </row>
    <row r="80" spans="1:12" ht="16.5" thickBot="1" x14ac:dyDescent="0.3">
      <c r="A80" s="383" t="s">
        <v>25</v>
      </c>
      <c r="B80" s="384"/>
      <c r="C80" s="384"/>
      <c r="D80" s="384"/>
      <c r="E80" s="384"/>
      <c r="F80" s="385"/>
      <c r="G80" s="63" t="e">
        <f>(G74+G77)/G79</f>
        <v>#DIV/0!</v>
      </c>
      <c r="H80" s="2"/>
      <c r="I80" s="2"/>
      <c r="J80" s="2"/>
      <c r="K80" s="2"/>
      <c r="L80" s="2"/>
    </row>
    <row r="81" spans="1:12" ht="15.7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5.75" x14ac:dyDescent="0.25">
      <c r="A82" s="366" t="s">
        <v>0</v>
      </c>
      <c r="B82" s="367"/>
      <c r="C82" s="367"/>
      <c r="D82" s="367"/>
      <c r="E82" s="367"/>
      <c r="F82" s="367"/>
      <c r="G82" s="367"/>
      <c r="H82" s="2"/>
      <c r="I82" s="2"/>
      <c r="J82" s="2"/>
      <c r="K82" s="2"/>
      <c r="L82" s="2"/>
    </row>
    <row r="83" spans="1:12" ht="15.75" x14ac:dyDescent="0.25">
      <c r="A83" s="1"/>
      <c r="B83" s="1"/>
      <c r="C83" s="1"/>
      <c r="D83" s="1"/>
      <c r="E83" s="1"/>
      <c r="F83" s="1"/>
      <c r="G83" s="3"/>
      <c r="H83" s="2"/>
      <c r="I83" s="2"/>
      <c r="J83" s="2"/>
      <c r="K83" s="2"/>
      <c r="L83" s="2"/>
    </row>
    <row r="84" spans="1:12" ht="15.75" x14ac:dyDescent="0.25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</row>
    <row r="85" spans="1:12" ht="15.75" x14ac:dyDescent="0.25">
      <c r="A85" s="2" t="s">
        <v>1</v>
      </c>
      <c r="B85" s="368" t="s">
        <v>91</v>
      </c>
      <c r="C85" s="369"/>
      <c r="D85" s="369"/>
      <c r="E85" s="369"/>
      <c r="F85" s="369"/>
      <c r="G85" s="369"/>
      <c r="H85" s="2"/>
      <c r="I85" s="2"/>
      <c r="J85" s="2"/>
      <c r="K85" s="2"/>
      <c r="L85" s="2"/>
    </row>
    <row r="86" spans="1:12" ht="15.7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6.5" thickBo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6.5" thickBot="1" x14ac:dyDescent="0.3">
      <c r="A88" s="4"/>
      <c r="B88" s="5"/>
      <c r="C88" s="6"/>
      <c r="D88" s="7"/>
      <c r="E88" s="7"/>
      <c r="F88" s="8" t="s">
        <v>2</v>
      </c>
      <c r="G88" s="9"/>
      <c r="H88" s="2"/>
      <c r="I88" s="370"/>
      <c r="J88" s="367"/>
      <c r="K88" s="367"/>
      <c r="L88" s="2"/>
    </row>
    <row r="89" spans="1:12" ht="16.5" thickBot="1" x14ac:dyDescent="0.3">
      <c r="A89" s="371" t="s">
        <v>3</v>
      </c>
      <c r="B89" s="367"/>
      <c r="C89" s="372"/>
      <c r="D89" s="10" t="s">
        <v>4</v>
      </c>
      <c r="E89" s="10" t="s">
        <v>5</v>
      </c>
      <c r="F89" s="373" t="s">
        <v>6</v>
      </c>
      <c r="G89" s="374"/>
      <c r="H89" s="2"/>
      <c r="I89" s="2"/>
      <c r="J89" s="2"/>
      <c r="K89" s="2"/>
      <c r="L89" s="2"/>
    </row>
    <row r="90" spans="1:12" ht="16.5" thickBot="1" x14ac:dyDescent="0.3">
      <c r="A90" s="11"/>
      <c r="B90" s="2"/>
      <c r="C90" s="12"/>
      <c r="D90" s="13"/>
      <c r="E90" s="13"/>
      <c r="F90" s="4" t="s">
        <v>7</v>
      </c>
      <c r="G90" s="14" t="s">
        <v>8</v>
      </c>
      <c r="H90" s="4" t="s">
        <v>9</v>
      </c>
      <c r="I90" s="4" t="s">
        <v>10</v>
      </c>
      <c r="J90" s="375" t="s">
        <v>11</v>
      </c>
      <c r="K90" s="376"/>
      <c r="L90" s="374"/>
    </row>
    <row r="91" spans="1:12" ht="15.75" x14ac:dyDescent="0.25">
      <c r="A91" s="386" t="s">
        <v>92</v>
      </c>
      <c r="B91" s="378"/>
      <c r="C91" s="379"/>
      <c r="D91" s="15">
        <v>200</v>
      </c>
      <c r="E91" s="16" t="s">
        <v>12</v>
      </c>
      <c r="F91" s="17" t="s">
        <v>165</v>
      </c>
      <c r="G91" s="18">
        <v>4400</v>
      </c>
      <c r="H91" s="19">
        <f>D91*L91</f>
        <v>200</v>
      </c>
      <c r="I91" s="20">
        <v>4400</v>
      </c>
      <c r="J91" s="21" t="s">
        <v>13</v>
      </c>
      <c r="K91" s="22"/>
      <c r="L91" s="23">
        <v>1</v>
      </c>
    </row>
    <row r="92" spans="1:12" ht="15.75" x14ac:dyDescent="0.25">
      <c r="A92" s="363" t="s">
        <v>32</v>
      </c>
      <c r="B92" s="364"/>
      <c r="C92" s="365"/>
      <c r="D92" s="24">
        <v>30</v>
      </c>
      <c r="E92" s="25" t="s">
        <v>12</v>
      </c>
      <c r="F92" s="72" t="s">
        <v>150</v>
      </c>
      <c r="G92" s="70">
        <v>87</v>
      </c>
      <c r="H92" s="28">
        <f>D92*L91</f>
        <v>30</v>
      </c>
      <c r="I92" s="29">
        <v>87</v>
      </c>
      <c r="J92" s="30" t="s">
        <v>14</v>
      </c>
      <c r="K92" s="31"/>
      <c r="L92" s="32">
        <f>SUM(I91:I97)</f>
        <v>8785</v>
      </c>
    </row>
    <row r="93" spans="1:12" ht="15.75" x14ac:dyDescent="0.25">
      <c r="A93" s="363" t="s">
        <v>93</v>
      </c>
      <c r="B93" s="364"/>
      <c r="C93" s="365"/>
      <c r="D93" s="24">
        <v>50</v>
      </c>
      <c r="E93" s="25" t="s">
        <v>12</v>
      </c>
      <c r="F93" s="72" t="s">
        <v>166</v>
      </c>
      <c r="G93" s="27">
        <v>1317</v>
      </c>
      <c r="H93" s="28">
        <f>D93*L91</f>
        <v>50</v>
      </c>
      <c r="I93" s="29">
        <v>1317</v>
      </c>
      <c r="J93" s="380" t="s">
        <v>15</v>
      </c>
      <c r="K93" s="381"/>
      <c r="L93" s="34">
        <f>G103*L91</f>
        <v>0</v>
      </c>
    </row>
    <row r="94" spans="1:12" ht="15.75" x14ac:dyDescent="0.25">
      <c r="A94" s="363" t="s">
        <v>34</v>
      </c>
      <c r="B94" s="364"/>
      <c r="C94" s="365"/>
      <c r="D94" s="24">
        <v>10</v>
      </c>
      <c r="E94" s="25" t="s">
        <v>12</v>
      </c>
      <c r="F94" s="72" t="s">
        <v>167</v>
      </c>
      <c r="G94" s="27">
        <v>316</v>
      </c>
      <c r="H94" s="28">
        <f>D94*L91</f>
        <v>10</v>
      </c>
      <c r="I94" s="29">
        <v>316</v>
      </c>
      <c r="J94" s="2"/>
      <c r="K94" s="2"/>
      <c r="L94" s="2"/>
    </row>
    <row r="95" spans="1:12" ht="15.75" x14ac:dyDescent="0.25">
      <c r="A95" s="363" t="s">
        <v>35</v>
      </c>
      <c r="B95" s="364"/>
      <c r="C95" s="365"/>
      <c r="D95" s="24">
        <v>25</v>
      </c>
      <c r="E95" s="25" t="s">
        <v>59</v>
      </c>
      <c r="F95" s="72" t="s">
        <v>135</v>
      </c>
      <c r="G95" s="27">
        <v>275</v>
      </c>
      <c r="H95" s="28">
        <f>D95*L91</f>
        <v>25</v>
      </c>
      <c r="I95" s="29">
        <v>275</v>
      </c>
      <c r="J95" s="2"/>
      <c r="K95" s="2"/>
      <c r="L95" s="2"/>
    </row>
    <row r="96" spans="1:12" ht="15.75" x14ac:dyDescent="0.25">
      <c r="A96" s="363" t="s">
        <v>36</v>
      </c>
      <c r="B96" s="364"/>
      <c r="C96" s="365"/>
      <c r="D96" s="24">
        <v>100</v>
      </c>
      <c r="E96" s="25" t="s">
        <v>59</v>
      </c>
      <c r="F96" s="72" t="s">
        <v>168</v>
      </c>
      <c r="G96" s="27">
        <v>2390</v>
      </c>
      <c r="H96" s="28">
        <f>D96*L91</f>
        <v>100</v>
      </c>
      <c r="I96" s="29">
        <v>2390</v>
      </c>
      <c r="J96" s="2"/>
      <c r="K96" s="2"/>
      <c r="L96" s="2"/>
    </row>
    <row r="97" spans="1:12" ht="16.5" thickBot="1" x14ac:dyDescent="0.3">
      <c r="A97" s="394"/>
      <c r="B97" s="364"/>
      <c r="C97" s="365"/>
      <c r="D97" s="35"/>
      <c r="E97" s="36"/>
      <c r="F97" s="37"/>
      <c r="G97" s="27">
        <f>D97*F97</f>
        <v>0</v>
      </c>
      <c r="H97" s="28">
        <f>D97*L91</f>
        <v>0</v>
      </c>
      <c r="I97" s="29">
        <f>F97*H97</f>
        <v>0</v>
      </c>
      <c r="J97" s="2"/>
      <c r="K97" s="2"/>
      <c r="L97" s="2"/>
    </row>
    <row r="98" spans="1:12" ht="15.75" x14ac:dyDescent="0.25">
      <c r="A98" s="50" t="s">
        <v>16</v>
      </c>
      <c r="B98" s="51"/>
      <c r="C98" s="51"/>
      <c r="D98" s="52"/>
      <c r="E98" s="52"/>
      <c r="F98" s="53"/>
      <c r="G98" s="20">
        <f>SUM(G91:G97)</f>
        <v>8785</v>
      </c>
      <c r="H98" s="2"/>
      <c r="I98" s="2"/>
      <c r="J98" s="2"/>
      <c r="K98" s="2"/>
      <c r="L98" s="2"/>
    </row>
    <row r="99" spans="1:12" ht="15.75" x14ac:dyDescent="0.25">
      <c r="A99" s="54" t="s">
        <v>17</v>
      </c>
      <c r="B99" s="55"/>
      <c r="C99" s="55"/>
      <c r="D99" s="56"/>
      <c r="E99" s="56"/>
      <c r="F99" s="57"/>
      <c r="G99" s="29">
        <f>G98*0.1</f>
        <v>878.5</v>
      </c>
      <c r="H99" s="2"/>
      <c r="I99" s="2"/>
      <c r="J99" s="2"/>
      <c r="K99" s="2"/>
      <c r="L99" s="2"/>
    </row>
    <row r="100" spans="1:12" ht="16.5" thickBot="1" x14ac:dyDescent="0.3">
      <c r="A100" s="54" t="s">
        <v>18</v>
      </c>
      <c r="B100" s="55"/>
      <c r="C100" s="55"/>
      <c r="D100" s="56"/>
      <c r="E100" s="56"/>
      <c r="F100" s="58"/>
      <c r="G100" s="29">
        <f>SUM(G98:G99)</f>
        <v>9663.5</v>
      </c>
      <c r="H100" s="2"/>
      <c r="I100" s="2"/>
      <c r="J100" s="2"/>
      <c r="K100" s="2"/>
      <c r="L100" s="2"/>
    </row>
    <row r="101" spans="1:12" ht="15.75" x14ac:dyDescent="0.25">
      <c r="A101" s="59" t="s">
        <v>19</v>
      </c>
      <c r="B101" s="33"/>
      <c r="C101" s="33"/>
      <c r="D101" s="60"/>
      <c r="E101" s="60"/>
      <c r="F101" s="61">
        <v>1</v>
      </c>
      <c r="G101" s="27">
        <f>G100/F101</f>
        <v>9663.5</v>
      </c>
      <c r="H101" s="2"/>
      <c r="I101" s="2"/>
      <c r="J101" s="2"/>
      <c r="K101" s="2"/>
      <c r="L101" s="2"/>
    </row>
    <row r="102" spans="1:12" ht="15.75" x14ac:dyDescent="0.25">
      <c r="A102" s="382" t="s">
        <v>20</v>
      </c>
      <c r="B102" s="364"/>
      <c r="C102" s="364"/>
      <c r="D102" s="364"/>
      <c r="E102" s="364"/>
      <c r="F102" s="365"/>
      <c r="G102" s="62" t="e">
        <f>G101/G103</f>
        <v>#DIV/0!</v>
      </c>
      <c r="H102" s="2"/>
      <c r="I102" s="2"/>
      <c r="J102" s="2"/>
      <c r="K102" s="2"/>
      <c r="L102" s="2"/>
    </row>
    <row r="103" spans="1:12" ht="15.75" x14ac:dyDescent="0.25">
      <c r="A103" s="382" t="s">
        <v>21</v>
      </c>
      <c r="B103" s="364"/>
      <c r="C103" s="364"/>
      <c r="D103" s="364"/>
      <c r="E103" s="364"/>
      <c r="F103" s="365"/>
      <c r="G103" s="29">
        <v>0</v>
      </c>
      <c r="H103" s="2"/>
      <c r="I103" s="2"/>
      <c r="J103" s="2"/>
      <c r="K103" s="2"/>
      <c r="L103" s="2"/>
    </row>
    <row r="104" spans="1:12" ht="15.75" x14ac:dyDescent="0.25">
      <c r="A104" s="382" t="s">
        <v>22</v>
      </c>
      <c r="B104" s="364"/>
      <c r="C104" s="364"/>
      <c r="D104" s="364"/>
      <c r="E104" s="364"/>
      <c r="F104" s="365"/>
      <c r="G104" s="29">
        <f>G103*0.08</f>
        <v>0</v>
      </c>
      <c r="H104" s="2"/>
      <c r="I104" s="2"/>
      <c r="J104" s="2"/>
      <c r="K104" s="2"/>
      <c r="L104" s="2"/>
    </row>
    <row r="105" spans="1:12" ht="15.75" x14ac:dyDescent="0.25">
      <c r="A105" s="382" t="s">
        <v>23</v>
      </c>
      <c r="B105" s="364"/>
      <c r="C105" s="364"/>
      <c r="D105" s="364"/>
      <c r="E105" s="364"/>
      <c r="F105" s="365"/>
      <c r="G105" s="29">
        <f>G104+G103</f>
        <v>0</v>
      </c>
      <c r="H105" s="2"/>
      <c r="I105" s="2"/>
      <c r="J105" s="2"/>
      <c r="K105" s="2"/>
      <c r="L105" s="2"/>
    </row>
    <row r="106" spans="1:12" ht="15.75" x14ac:dyDescent="0.25">
      <c r="A106" s="382" t="s">
        <v>24</v>
      </c>
      <c r="B106" s="364"/>
      <c r="C106" s="364"/>
      <c r="D106" s="364"/>
      <c r="E106" s="364"/>
      <c r="F106" s="365"/>
      <c r="G106" s="29">
        <f>G105</f>
        <v>0</v>
      </c>
      <c r="H106" s="2"/>
      <c r="I106" s="2"/>
      <c r="J106" s="2"/>
      <c r="K106" s="2"/>
      <c r="L106" s="2"/>
    </row>
    <row r="107" spans="1:12" ht="16.5" thickBot="1" x14ac:dyDescent="0.3">
      <c r="A107" s="383" t="s">
        <v>25</v>
      </c>
      <c r="B107" s="384"/>
      <c r="C107" s="384"/>
      <c r="D107" s="384"/>
      <c r="E107" s="384"/>
      <c r="F107" s="385"/>
      <c r="G107" s="63" t="e">
        <f>(G101+G104)/G106</f>
        <v>#DIV/0!</v>
      </c>
      <c r="H107" s="2"/>
      <c r="I107" s="2"/>
      <c r="J107" s="2"/>
      <c r="K107" s="2"/>
      <c r="L107" s="2"/>
    </row>
    <row r="108" spans="1:12" ht="15.7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5.75" x14ac:dyDescent="0.25">
      <c r="A109" s="366" t="s">
        <v>0</v>
      </c>
      <c r="B109" s="367"/>
      <c r="C109" s="367"/>
      <c r="D109" s="367"/>
      <c r="E109" s="367"/>
      <c r="F109" s="367"/>
      <c r="G109" s="367"/>
      <c r="H109" s="2"/>
      <c r="I109" s="2"/>
      <c r="J109" s="2"/>
      <c r="K109" s="2"/>
      <c r="L109" s="2"/>
    </row>
    <row r="110" spans="1:12" ht="15.75" x14ac:dyDescent="0.25">
      <c r="A110" s="1"/>
      <c r="B110" s="1"/>
      <c r="C110" s="1"/>
      <c r="D110" s="1"/>
      <c r="E110" s="1"/>
      <c r="F110" s="1"/>
      <c r="G110" s="3"/>
      <c r="H110" s="2"/>
      <c r="I110" s="2"/>
      <c r="J110" s="2"/>
      <c r="K110" s="2"/>
      <c r="L110" s="2"/>
    </row>
    <row r="111" spans="1:12" ht="15.75" x14ac:dyDescent="0.25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</row>
    <row r="112" spans="1:12" ht="15.75" x14ac:dyDescent="0.25">
      <c r="A112" s="2" t="s">
        <v>1</v>
      </c>
      <c r="B112" s="368" t="s">
        <v>94</v>
      </c>
      <c r="C112" s="369"/>
      <c r="D112" s="369"/>
      <c r="E112" s="369"/>
      <c r="F112" s="369"/>
      <c r="G112" s="369"/>
      <c r="H112" s="2"/>
      <c r="I112" s="2"/>
      <c r="J112" s="2"/>
      <c r="K112" s="2"/>
      <c r="L112" s="2"/>
    </row>
    <row r="113" spans="1:12" ht="15.7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6.5" thickBo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6.5" thickBot="1" x14ac:dyDescent="0.3">
      <c r="A115" s="4"/>
      <c r="B115" s="5"/>
      <c r="C115" s="6"/>
      <c r="D115" s="7"/>
      <c r="E115" s="7"/>
      <c r="F115" s="8" t="s">
        <v>2</v>
      </c>
      <c r="G115" s="9"/>
      <c r="H115" s="2"/>
      <c r="I115" s="370"/>
      <c r="J115" s="367"/>
      <c r="K115" s="367"/>
      <c r="L115" s="2"/>
    </row>
    <row r="116" spans="1:12" ht="16.5" thickBot="1" x14ac:dyDescent="0.3">
      <c r="A116" s="371" t="s">
        <v>3</v>
      </c>
      <c r="B116" s="367"/>
      <c r="C116" s="372"/>
      <c r="D116" s="10" t="s">
        <v>4</v>
      </c>
      <c r="E116" s="10" t="s">
        <v>5</v>
      </c>
      <c r="F116" s="373" t="s">
        <v>6</v>
      </c>
      <c r="G116" s="374"/>
      <c r="H116" s="2"/>
      <c r="I116" s="2"/>
      <c r="J116" s="2"/>
      <c r="K116" s="2"/>
      <c r="L116" s="2"/>
    </row>
    <row r="117" spans="1:12" ht="16.5" thickBot="1" x14ac:dyDescent="0.3">
      <c r="A117" s="11"/>
      <c r="B117" s="2"/>
      <c r="C117" s="12"/>
      <c r="D117" s="13"/>
      <c r="E117" s="13"/>
      <c r="F117" s="4" t="s">
        <v>7</v>
      </c>
      <c r="G117" s="14" t="s">
        <v>8</v>
      </c>
      <c r="H117" s="4" t="s">
        <v>9</v>
      </c>
      <c r="I117" s="4" t="s">
        <v>10</v>
      </c>
      <c r="J117" s="375" t="s">
        <v>11</v>
      </c>
      <c r="K117" s="376"/>
      <c r="L117" s="374"/>
    </row>
    <row r="118" spans="1:12" ht="16.5" thickBot="1" x14ac:dyDescent="0.3">
      <c r="A118" s="386" t="s">
        <v>95</v>
      </c>
      <c r="B118" s="378"/>
      <c r="C118" s="379"/>
      <c r="D118" s="15">
        <v>100</v>
      </c>
      <c r="E118" s="16" t="s">
        <v>12</v>
      </c>
      <c r="F118" s="73" t="s">
        <v>170</v>
      </c>
      <c r="G118" s="18">
        <v>450</v>
      </c>
      <c r="H118" s="19">
        <f>D118*L118</f>
        <v>100</v>
      </c>
      <c r="I118" s="20">
        <v>450</v>
      </c>
      <c r="J118" s="21" t="s">
        <v>13</v>
      </c>
      <c r="K118" s="22"/>
      <c r="L118" s="23">
        <v>1</v>
      </c>
    </row>
    <row r="119" spans="1:12" ht="15.75" x14ac:dyDescent="0.25">
      <c r="A119" s="363" t="s">
        <v>93</v>
      </c>
      <c r="B119" s="364"/>
      <c r="C119" s="365"/>
      <c r="D119" s="24">
        <v>200</v>
      </c>
      <c r="E119" s="25" t="s">
        <v>12</v>
      </c>
      <c r="F119" s="72" t="s">
        <v>166</v>
      </c>
      <c r="G119" s="27">
        <v>5.27</v>
      </c>
      <c r="H119" s="28">
        <f>D119*L118</f>
        <v>200</v>
      </c>
      <c r="I119" s="20">
        <v>450</v>
      </c>
      <c r="J119" s="30" t="s">
        <v>14</v>
      </c>
      <c r="K119" s="31"/>
      <c r="L119" s="32">
        <f>SUM(I118:I122)</f>
        <v>1098</v>
      </c>
    </row>
    <row r="120" spans="1:12" ht="15.75" x14ac:dyDescent="0.25">
      <c r="A120" s="363" t="s">
        <v>40</v>
      </c>
      <c r="B120" s="364"/>
      <c r="C120" s="365"/>
      <c r="D120" s="24">
        <v>15</v>
      </c>
      <c r="E120" s="25" t="s">
        <v>12</v>
      </c>
      <c r="F120" s="72" t="s">
        <v>164</v>
      </c>
      <c r="G120" s="27">
        <v>39</v>
      </c>
      <c r="H120" s="28">
        <f>D120*L118</f>
        <v>15</v>
      </c>
      <c r="I120" s="29">
        <v>39</v>
      </c>
      <c r="J120" s="380" t="s">
        <v>15</v>
      </c>
      <c r="K120" s="381"/>
      <c r="L120" s="34">
        <f>G128*L118</f>
        <v>0</v>
      </c>
    </row>
    <row r="121" spans="1:12" ht="15.75" x14ac:dyDescent="0.25">
      <c r="A121" s="363" t="s">
        <v>96</v>
      </c>
      <c r="B121" s="364"/>
      <c r="C121" s="365"/>
      <c r="D121" s="24">
        <v>20</v>
      </c>
      <c r="E121" s="25" t="s">
        <v>12</v>
      </c>
      <c r="F121" s="72" t="s">
        <v>169</v>
      </c>
      <c r="G121" s="27">
        <v>159</v>
      </c>
      <c r="H121" s="28">
        <f>D121*L118</f>
        <v>20</v>
      </c>
      <c r="I121" s="29">
        <v>159</v>
      </c>
      <c r="J121" s="2"/>
      <c r="K121" s="2"/>
      <c r="L121" s="2"/>
    </row>
    <row r="122" spans="1:12" ht="16.5" thickBot="1" x14ac:dyDescent="0.3">
      <c r="A122" s="363"/>
      <c r="B122" s="364"/>
      <c r="C122" s="365"/>
      <c r="D122" s="24"/>
      <c r="E122" s="25"/>
      <c r="F122" s="26"/>
      <c r="G122" s="27">
        <f>D122*F122</f>
        <v>0</v>
      </c>
      <c r="H122" s="28">
        <f>D122*L118</f>
        <v>0</v>
      </c>
      <c r="I122" s="29">
        <f>F122*H122</f>
        <v>0</v>
      </c>
      <c r="J122" s="2"/>
      <c r="K122" s="2"/>
      <c r="L122" s="2"/>
    </row>
    <row r="123" spans="1:12" ht="15.75" x14ac:dyDescent="0.25">
      <c r="A123" s="50" t="s">
        <v>16</v>
      </c>
      <c r="B123" s="51"/>
      <c r="C123" s="51"/>
      <c r="D123" s="52"/>
      <c r="E123" s="52"/>
      <c r="F123" s="53"/>
      <c r="G123" s="20">
        <f>SUM(G118:G122)</f>
        <v>653.27</v>
      </c>
      <c r="H123" s="2"/>
      <c r="I123" s="2"/>
      <c r="J123" s="2"/>
      <c r="K123" s="2"/>
      <c r="L123" s="2"/>
    </row>
    <row r="124" spans="1:12" ht="15.75" x14ac:dyDescent="0.25">
      <c r="A124" s="54" t="s">
        <v>17</v>
      </c>
      <c r="B124" s="55"/>
      <c r="C124" s="55"/>
      <c r="D124" s="56"/>
      <c r="E124" s="56"/>
      <c r="F124" s="57"/>
      <c r="G124" s="29">
        <f>G123*0.1</f>
        <v>65.326999999999998</v>
      </c>
      <c r="H124" s="2"/>
      <c r="I124" s="2"/>
      <c r="J124" s="2"/>
      <c r="K124" s="2"/>
      <c r="L124" s="2"/>
    </row>
    <row r="125" spans="1:12" ht="16.5" thickBot="1" x14ac:dyDescent="0.3">
      <c r="A125" s="54" t="s">
        <v>18</v>
      </c>
      <c r="B125" s="55"/>
      <c r="C125" s="55"/>
      <c r="D125" s="56"/>
      <c r="E125" s="56"/>
      <c r="F125" s="58"/>
      <c r="G125" s="29">
        <f>SUM(G123:G124)</f>
        <v>718.59699999999998</v>
      </c>
      <c r="H125" s="2"/>
      <c r="I125" s="2"/>
      <c r="J125" s="2"/>
      <c r="K125" s="2"/>
      <c r="L125" s="2"/>
    </row>
    <row r="126" spans="1:12" ht="15.75" x14ac:dyDescent="0.25">
      <c r="A126" s="59" t="s">
        <v>19</v>
      </c>
      <c r="B126" s="33"/>
      <c r="C126" s="33"/>
      <c r="D126" s="60"/>
      <c r="E126" s="60"/>
      <c r="F126" s="61">
        <v>1</v>
      </c>
      <c r="G126" s="27">
        <f>G125/F126</f>
        <v>718.59699999999998</v>
      </c>
      <c r="H126" s="2"/>
      <c r="I126" s="2"/>
      <c r="J126" s="2"/>
      <c r="K126" s="2"/>
      <c r="L126" s="2"/>
    </row>
    <row r="127" spans="1:12" ht="15.75" x14ac:dyDescent="0.25">
      <c r="A127" s="382" t="s">
        <v>20</v>
      </c>
      <c r="B127" s="364"/>
      <c r="C127" s="364"/>
      <c r="D127" s="364"/>
      <c r="E127" s="364"/>
      <c r="F127" s="365"/>
      <c r="G127" s="62" t="e">
        <f>G126/G128</f>
        <v>#DIV/0!</v>
      </c>
      <c r="H127" s="2"/>
      <c r="I127" s="2"/>
      <c r="J127" s="2"/>
      <c r="K127" s="2"/>
      <c r="L127" s="2"/>
    </row>
    <row r="128" spans="1:12" ht="15.75" x14ac:dyDescent="0.25">
      <c r="A128" s="382" t="s">
        <v>21</v>
      </c>
      <c r="B128" s="364"/>
      <c r="C128" s="364"/>
      <c r="D128" s="364"/>
      <c r="E128" s="364"/>
      <c r="F128" s="365"/>
      <c r="G128" s="29"/>
      <c r="H128" s="2"/>
      <c r="I128" s="2"/>
      <c r="J128" s="2"/>
      <c r="K128" s="2"/>
      <c r="L128" s="2"/>
    </row>
    <row r="129" spans="1:12" ht="15.75" x14ac:dyDescent="0.25">
      <c r="A129" s="382" t="s">
        <v>22</v>
      </c>
      <c r="B129" s="364"/>
      <c r="C129" s="364"/>
      <c r="D129" s="364"/>
      <c r="E129" s="364"/>
      <c r="F129" s="365"/>
      <c r="G129" s="29">
        <f>G128*0.08</f>
        <v>0</v>
      </c>
      <c r="H129" s="2"/>
      <c r="I129" s="2"/>
      <c r="J129" s="2"/>
      <c r="K129" s="2"/>
      <c r="L129" s="2"/>
    </row>
    <row r="130" spans="1:12" ht="15.75" x14ac:dyDescent="0.25">
      <c r="A130" s="382" t="s">
        <v>23</v>
      </c>
      <c r="B130" s="364"/>
      <c r="C130" s="364"/>
      <c r="D130" s="364"/>
      <c r="E130" s="364"/>
      <c r="F130" s="365"/>
      <c r="G130" s="29">
        <f>G129+G128</f>
        <v>0</v>
      </c>
      <c r="H130" s="2"/>
      <c r="I130" s="2"/>
      <c r="J130" s="2"/>
      <c r="K130" s="2"/>
      <c r="L130" s="2"/>
    </row>
    <row r="131" spans="1:12" ht="15.75" x14ac:dyDescent="0.25">
      <c r="A131" s="382" t="s">
        <v>24</v>
      </c>
      <c r="B131" s="364"/>
      <c r="C131" s="364"/>
      <c r="D131" s="364"/>
      <c r="E131" s="364"/>
      <c r="F131" s="365"/>
      <c r="G131" s="29">
        <f>G130</f>
        <v>0</v>
      </c>
      <c r="H131" s="2"/>
      <c r="I131" s="2"/>
      <c r="J131" s="2"/>
      <c r="K131" s="2"/>
      <c r="L131" s="2"/>
    </row>
    <row r="132" spans="1:12" ht="16.5" thickBot="1" x14ac:dyDescent="0.3">
      <c r="A132" s="383" t="s">
        <v>25</v>
      </c>
      <c r="B132" s="384"/>
      <c r="C132" s="384"/>
      <c r="D132" s="384"/>
      <c r="E132" s="384"/>
      <c r="F132" s="385"/>
      <c r="G132" s="63" t="e">
        <f>(G126+G129)/G131</f>
        <v>#DIV/0!</v>
      </c>
      <c r="H132" s="2"/>
      <c r="I132" s="2"/>
      <c r="J132" s="2"/>
      <c r="K132" s="2"/>
      <c r="L132" s="2"/>
    </row>
    <row r="133" spans="1:12" ht="15.7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x14ac:dyDescent="0.25">
      <c r="A134" s="366" t="s">
        <v>0</v>
      </c>
      <c r="B134" s="367"/>
      <c r="C134" s="367"/>
      <c r="D134" s="367"/>
      <c r="E134" s="367"/>
      <c r="F134" s="367"/>
      <c r="G134" s="367"/>
      <c r="H134" s="2"/>
      <c r="I134" s="2"/>
      <c r="J134" s="2"/>
      <c r="K134" s="2"/>
      <c r="L134" s="2"/>
    </row>
    <row r="135" spans="1:12" ht="15.75" x14ac:dyDescent="0.25">
      <c r="A135" s="1"/>
      <c r="B135" s="1"/>
      <c r="C135" s="1"/>
      <c r="D135" s="1"/>
      <c r="E135" s="1"/>
      <c r="F135" s="1"/>
      <c r="G135" s="3"/>
      <c r="H135" s="2"/>
      <c r="I135" s="2"/>
      <c r="J135" s="2"/>
      <c r="K135" s="2"/>
      <c r="L135" s="2"/>
    </row>
    <row r="136" spans="1:12" ht="15.75" x14ac:dyDescent="0.25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</row>
    <row r="137" spans="1:12" ht="15.75" x14ac:dyDescent="0.25">
      <c r="A137" s="2" t="s">
        <v>1</v>
      </c>
      <c r="B137" s="368" t="s">
        <v>75</v>
      </c>
      <c r="C137" s="369"/>
      <c r="D137" s="369"/>
      <c r="E137" s="369"/>
      <c r="F137" s="369"/>
      <c r="G137" s="369"/>
      <c r="H137" s="2"/>
      <c r="I137" s="2"/>
      <c r="J137" s="2"/>
      <c r="K137" s="2"/>
      <c r="L137" s="2"/>
    </row>
    <row r="138" spans="1:12" ht="15.7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6.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6.5" thickBot="1" x14ac:dyDescent="0.3">
      <c r="A140" s="4"/>
      <c r="B140" s="5"/>
      <c r="C140" s="6"/>
      <c r="D140" s="7"/>
      <c r="E140" s="7"/>
      <c r="F140" s="8" t="s">
        <v>2</v>
      </c>
      <c r="G140" s="9"/>
      <c r="H140" s="2"/>
      <c r="I140" s="370"/>
      <c r="J140" s="367"/>
      <c r="K140" s="367"/>
      <c r="L140" s="2"/>
    </row>
    <row r="141" spans="1:12" ht="16.5" thickBot="1" x14ac:dyDescent="0.3">
      <c r="A141" s="371" t="s">
        <v>3</v>
      </c>
      <c r="B141" s="367"/>
      <c r="C141" s="372"/>
      <c r="D141" s="10" t="s">
        <v>4</v>
      </c>
      <c r="E141" s="10" t="s">
        <v>5</v>
      </c>
      <c r="F141" s="373" t="s">
        <v>6</v>
      </c>
      <c r="G141" s="374"/>
      <c r="H141" s="2"/>
      <c r="I141" s="2"/>
      <c r="J141" s="2"/>
      <c r="K141" s="2"/>
      <c r="L141" s="2"/>
    </row>
    <row r="142" spans="1:12" ht="16.5" thickBot="1" x14ac:dyDescent="0.3">
      <c r="A142" s="11"/>
      <c r="B142" s="2"/>
      <c r="C142" s="12"/>
      <c r="D142" s="13"/>
      <c r="E142" s="13"/>
      <c r="F142" s="4" t="s">
        <v>7</v>
      </c>
      <c r="G142" s="14" t="s">
        <v>8</v>
      </c>
      <c r="H142" s="4" t="s">
        <v>9</v>
      </c>
      <c r="I142" s="4" t="s">
        <v>10</v>
      </c>
      <c r="J142" s="375" t="s">
        <v>11</v>
      </c>
      <c r="K142" s="376"/>
      <c r="L142" s="374"/>
    </row>
    <row r="143" spans="1:12" ht="15.75" x14ac:dyDescent="0.25">
      <c r="A143" s="386" t="s">
        <v>76</v>
      </c>
      <c r="B143" s="378"/>
      <c r="C143" s="379"/>
      <c r="D143" s="15">
        <v>180</v>
      </c>
      <c r="E143" s="16" t="s">
        <v>12</v>
      </c>
      <c r="F143" s="17">
        <v>2.6</v>
      </c>
      <c r="G143" s="18">
        <f>F143*D143</f>
        <v>468</v>
      </c>
      <c r="H143" s="19">
        <f>D143*L143</f>
        <v>180</v>
      </c>
      <c r="I143" s="20">
        <f t="shared" ref="I143:I147" si="2">F143*H143</f>
        <v>468</v>
      </c>
      <c r="J143" s="21" t="s">
        <v>13</v>
      </c>
      <c r="K143" s="22"/>
      <c r="L143" s="23">
        <v>1</v>
      </c>
    </row>
    <row r="144" spans="1:12" ht="15.75" x14ac:dyDescent="0.25">
      <c r="A144" s="363" t="s">
        <v>39</v>
      </c>
      <c r="B144" s="364"/>
      <c r="C144" s="365"/>
      <c r="D144" s="24">
        <v>30</v>
      </c>
      <c r="E144" s="25" t="s">
        <v>12</v>
      </c>
      <c r="F144" s="26">
        <v>23.74</v>
      </c>
      <c r="G144" s="27">
        <f t="shared" ref="G144:G147" si="3">D144*F144</f>
        <v>712.19999999999993</v>
      </c>
      <c r="H144" s="28">
        <f>D144*L143</f>
        <v>30</v>
      </c>
      <c r="I144" s="29">
        <f t="shared" si="2"/>
        <v>712.19999999999993</v>
      </c>
      <c r="J144" s="30" t="s">
        <v>14</v>
      </c>
      <c r="K144" s="31"/>
      <c r="L144" s="32">
        <f>SUM(I143:I147)</f>
        <v>1196.4199999999998</v>
      </c>
    </row>
    <row r="145" spans="1:12" ht="15.75" x14ac:dyDescent="0.25">
      <c r="A145" s="363" t="s">
        <v>40</v>
      </c>
      <c r="B145" s="364"/>
      <c r="C145" s="365"/>
      <c r="D145" s="24">
        <v>2</v>
      </c>
      <c r="E145" s="25" t="s">
        <v>12</v>
      </c>
      <c r="F145" s="26">
        <v>2.61</v>
      </c>
      <c r="G145" s="27">
        <f t="shared" si="3"/>
        <v>5.22</v>
      </c>
      <c r="H145" s="28">
        <f>D145*L143</f>
        <v>2</v>
      </c>
      <c r="I145" s="29">
        <f t="shared" si="2"/>
        <v>5.22</v>
      </c>
      <c r="J145" s="380" t="s">
        <v>15</v>
      </c>
      <c r="K145" s="381"/>
      <c r="L145" s="34">
        <f>G153*L143</f>
        <v>12000</v>
      </c>
    </row>
    <row r="146" spans="1:12" ht="15.75" x14ac:dyDescent="0.25">
      <c r="A146" s="363" t="s">
        <v>35</v>
      </c>
      <c r="B146" s="364"/>
      <c r="C146" s="365"/>
      <c r="D146" s="24">
        <v>1</v>
      </c>
      <c r="E146" s="25" t="s">
        <v>12</v>
      </c>
      <c r="F146" s="26">
        <v>11</v>
      </c>
      <c r="G146" s="27">
        <f t="shared" si="3"/>
        <v>11</v>
      </c>
      <c r="H146" s="28">
        <f>D146*L143</f>
        <v>1</v>
      </c>
      <c r="I146" s="29">
        <f t="shared" si="2"/>
        <v>11</v>
      </c>
      <c r="J146" s="2"/>
      <c r="K146" s="2"/>
      <c r="L146" s="2"/>
    </row>
    <row r="147" spans="1:12" ht="16.5" thickBot="1" x14ac:dyDescent="0.3">
      <c r="A147" s="363"/>
      <c r="B147" s="364"/>
      <c r="C147" s="365"/>
      <c r="D147" s="24"/>
      <c r="E147" s="25"/>
      <c r="F147" s="26"/>
      <c r="G147" s="27">
        <f t="shared" si="3"/>
        <v>0</v>
      </c>
      <c r="H147" s="28">
        <f>D147*L143</f>
        <v>0</v>
      </c>
      <c r="I147" s="29">
        <f t="shared" si="2"/>
        <v>0</v>
      </c>
      <c r="J147" s="2"/>
      <c r="K147" s="2"/>
      <c r="L147" s="2"/>
    </row>
    <row r="148" spans="1:12" ht="15.75" x14ac:dyDescent="0.25">
      <c r="A148" s="50" t="s">
        <v>16</v>
      </c>
      <c r="B148" s="51"/>
      <c r="C148" s="51"/>
      <c r="D148" s="52"/>
      <c r="E148" s="52"/>
      <c r="F148" s="53"/>
      <c r="G148" s="20">
        <f>SUM(G143:G147)</f>
        <v>1196.4199999999998</v>
      </c>
      <c r="H148" s="2"/>
      <c r="I148" s="2"/>
      <c r="J148" s="2"/>
      <c r="K148" s="2"/>
      <c r="L148" s="2"/>
    </row>
    <row r="149" spans="1:12" ht="15.75" x14ac:dyDescent="0.25">
      <c r="A149" s="54" t="s">
        <v>17</v>
      </c>
      <c r="B149" s="55"/>
      <c r="C149" s="55"/>
      <c r="D149" s="56"/>
      <c r="E149" s="56"/>
      <c r="F149" s="57"/>
      <c r="G149" s="29">
        <f>G148*0.1</f>
        <v>119.642</v>
      </c>
      <c r="H149" s="2"/>
      <c r="I149" s="2"/>
      <c r="J149" s="2"/>
      <c r="K149" s="2"/>
      <c r="L149" s="2"/>
    </row>
    <row r="150" spans="1:12" ht="16.5" thickBot="1" x14ac:dyDescent="0.3">
      <c r="A150" s="54" t="s">
        <v>18</v>
      </c>
      <c r="B150" s="55"/>
      <c r="C150" s="55"/>
      <c r="D150" s="56"/>
      <c r="E150" s="56"/>
      <c r="F150" s="58"/>
      <c r="G150" s="29">
        <f>SUM(G148:G149)</f>
        <v>1316.0619999999999</v>
      </c>
      <c r="H150" s="2"/>
      <c r="I150" s="2"/>
      <c r="J150" s="2"/>
      <c r="K150" s="2"/>
      <c r="L150" s="2"/>
    </row>
    <row r="151" spans="1:12" ht="15.75" x14ac:dyDescent="0.25">
      <c r="A151" s="59" t="s">
        <v>19</v>
      </c>
      <c r="B151" s="33"/>
      <c r="C151" s="33"/>
      <c r="D151" s="60"/>
      <c r="E151" s="60"/>
      <c r="F151" s="61">
        <v>1</v>
      </c>
      <c r="G151" s="27">
        <f>G150/F151</f>
        <v>1316.0619999999999</v>
      </c>
      <c r="H151" s="2"/>
      <c r="I151" s="2"/>
      <c r="J151" s="2"/>
      <c r="K151" s="2"/>
      <c r="L151" s="2"/>
    </row>
    <row r="152" spans="1:12" ht="15.75" x14ac:dyDescent="0.25">
      <c r="A152" s="382" t="s">
        <v>20</v>
      </c>
      <c r="B152" s="364"/>
      <c r="C152" s="364"/>
      <c r="D152" s="364"/>
      <c r="E152" s="364"/>
      <c r="F152" s="365"/>
      <c r="G152" s="62">
        <f>G151/G153</f>
        <v>0.10967183333333333</v>
      </c>
      <c r="H152" s="2"/>
      <c r="I152" s="2"/>
      <c r="J152" s="2"/>
      <c r="K152" s="2"/>
      <c r="L152" s="2"/>
    </row>
    <row r="153" spans="1:12" ht="15.75" x14ac:dyDescent="0.25">
      <c r="A153" s="382" t="s">
        <v>21</v>
      </c>
      <c r="B153" s="364"/>
      <c r="C153" s="364"/>
      <c r="D153" s="364"/>
      <c r="E153" s="364"/>
      <c r="F153" s="365"/>
      <c r="G153" s="29">
        <v>12000</v>
      </c>
      <c r="H153" s="2"/>
      <c r="I153" s="2"/>
      <c r="J153" s="2"/>
      <c r="K153" s="2"/>
      <c r="L153" s="2"/>
    </row>
    <row r="154" spans="1:12" ht="15.75" x14ac:dyDescent="0.25">
      <c r="A154" s="382" t="s">
        <v>22</v>
      </c>
      <c r="B154" s="364"/>
      <c r="C154" s="364"/>
      <c r="D154" s="364"/>
      <c r="E154" s="364"/>
      <c r="F154" s="365"/>
      <c r="G154" s="29">
        <f>G153*0.08</f>
        <v>960</v>
      </c>
      <c r="H154" s="2"/>
      <c r="I154" s="2"/>
      <c r="J154" s="2"/>
      <c r="K154" s="2"/>
      <c r="L154" s="2"/>
    </row>
    <row r="155" spans="1:12" ht="15.75" x14ac:dyDescent="0.25">
      <c r="A155" s="382" t="s">
        <v>23</v>
      </c>
      <c r="B155" s="364"/>
      <c r="C155" s="364"/>
      <c r="D155" s="364"/>
      <c r="E155" s="364"/>
      <c r="F155" s="365"/>
      <c r="G155" s="29">
        <f>G154+G153</f>
        <v>12960</v>
      </c>
      <c r="H155" s="2"/>
      <c r="I155" s="2"/>
      <c r="J155" s="2"/>
      <c r="K155" s="2"/>
      <c r="L155" s="2"/>
    </row>
    <row r="156" spans="1:12" ht="15.75" x14ac:dyDescent="0.25">
      <c r="A156" s="382" t="s">
        <v>24</v>
      </c>
      <c r="B156" s="364"/>
      <c r="C156" s="364"/>
      <c r="D156" s="364"/>
      <c r="E156" s="364"/>
      <c r="F156" s="365"/>
      <c r="G156" s="29">
        <f>G155</f>
        <v>12960</v>
      </c>
      <c r="H156" s="2"/>
      <c r="I156" s="2"/>
      <c r="J156" s="2"/>
      <c r="K156" s="2"/>
      <c r="L156" s="2"/>
    </row>
    <row r="157" spans="1:12" ht="16.5" thickBot="1" x14ac:dyDescent="0.3">
      <c r="A157" s="383" t="s">
        <v>25</v>
      </c>
      <c r="B157" s="384"/>
      <c r="C157" s="384"/>
      <c r="D157" s="384"/>
      <c r="E157" s="384"/>
      <c r="F157" s="385"/>
      <c r="G157" s="63">
        <f>(G151+G154)/G156</f>
        <v>0.17562206790123455</v>
      </c>
      <c r="H157" s="2"/>
      <c r="I157" s="2"/>
      <c r="J157" s="2"/>
      <c r="K157" s="2"/>
      <c r="L157" s="2"/>
    </row>
    <row r="158" spans="1:12" ht="15.7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x14ac:dyDescent="0.25">
      <c r="A159" s="2" t="s">
        <v>1</v>
      </c>
      <c r="B159" s="368" t="s">
        <v>204</v>
      </c>
      <c r="C159" s="369"/>
      <c r="D159" s="369"/>
      <c r="E159" s="369"/>
      <c r="F159" s="369"/>
      <c r="G159" s="369"/>
      <c r="H159" s="2"/>
      <c r="I159" s="2"/>
      <c r="J159" s="2"/>
      <c r="K159" s="2"/>
      <c r="L159" s="2"/>
    </row>
    <row r="160" spans="1:12" ht="15.7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6.5" thickBo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6.5" thickBot="1" x14ac:dyDescent="0.3">
      <c r="A162" s="4"/>
      <c r="B162" s="5"/>
      <c r="C162" s="6"/>
      <c r="D162" s="7"/>
      <c r="E162" s="7"/>
      <c r="F162" s="8" t="s">
        <v>2</v>
      </c>
      <c r="G162" s="9"/>
      <c r="H162" s="2"/>
      <c r="I162" s="370"/>
      <c r="J162" s="367"/>
      <c r="K162" s="367"/>
      <c r="L162" s="2"/>
    </row>
    <row r="163" spans="1:12" ht="16.5" thickBot="1" x14ac:dyDescent="0.3">
      <c r="A163" s="371" t="s">
        <v>3</v>
      </c>
      <c r="B163" s="367"/>
      <c r="C163" s="372"/>
      <c r="D163" s="10" t="s">
        <v>4</v>
      </c>
      <c r="E163" s="10" t="s">
        <v>5</v>
      </c>
      <c r="F163" s="373" t="s">
        <v>6</v>
      </c>
      <c r="G163" s="374"/>
      <c r="H163" s="2"/>
      <c r="I163" s="2"/>
      <c r="J163" s="2"/>
      <c r="K163" s="2"/>
      <c r="L163" s="2"/>
    </row>
    <row r="164" spans="1:12" ht="16.5" thickBot="1" x14ac:dyDescent="0.3">
      <c r="A164" s="11"/>
      <c r="B164" s="2"/>
      <c r="C164" s="12"/>
      <c r="D164" s="13"/>
      <c r="E164" s="13"/>
      <c r="F164" s="4" t="s">
        <v>7</v>
      </c>
      <c r="G164" s="14" t="s">
        <v>8</v>
      </c>
      <c r="H164" s="4" t="s">
        <v>9</v>
      </c>
      <c r="I164" s="4" t="s">
        <v>10</v>
      </c>
      <c r="J164" s="375" t="s">
        <v>11</v>
      </c>
      <c r="K164" s="376"/>
      <c r="L164" s="374"/>
    </row>
    <row r="165" spans="1:12" ht="15.75" x14ac:dyDescent="0.25">
      <c r="A165" s="386" t="s">
        <v>31</v>
      </c>
      <c r="B165" s="378"/>
      <c r="C165" s="379"/>
      <c r="D165" s="15">
        <v>200</v>
      </c>
      <c r="E165" s="16" t="s">
        <v>12</v>
      </c>
      <c r="F165" s="73" t="s">
        <v>161</v>
      </c>
      <c r="G165" s="18">
        <v>4200</v>
      </c>
      <c r="H165" s="19">
        <f>D165*L165</f>
        <v>200</v>
      </c>
      <c r="I165" s="20">
        <v>4200</v>
      </c>
      <c r="J165" s="21" t="s">
        <v>13</v>
      </c>
      <c r="K165" s="22"/>
      <c r="L165" s="23">
        <v>1</v>
      </c>
    </row>
    <row r="166" spans="1:12" ht="15.75" x14ac:dyDescent="0.25">
      <c r="A166" s="363" t="s">
        <v>80</v>
      </c>
      <c r="B166" s="364"/>
      <c r="C166" s="365"/>
      <c r="D166" s="24">
        <v>25</v>
      </c>
      <c r="E166" s="25" t="s">
        <v>12</v>
      </c>
      <c r="F166" s="26" t="s">
        <v>162</v>
      </c>
      <c r="G166" s="27">
        <v>649</v>
      </c>
      <c r="H166" s="28">
        <f>D166*L165</f>
        <v>25</v>
      </c>
      <c r="I166" s="29">
        <v>649</v>
      </c>
      <c r="J166" s="30" t="s">
        <v>14</v>
      </c>
      <c r="K166" s="31"/>
      <c r="L166" s="32">
        <f>SUM(I165:I170)</f>
        <v>5366</v>
      </c>
    </row>
    <row r="167" spans="1:12" ht="15.75" x14ac:dyDescent="0.25">
      <c r="A167" s="363" t="s">
        <v>81</v>
      </c>
      <c r="B167" s="364"/>
      <c r="C167" s="365"/>
      <c r="D167" s="24">
        <v>25</v>
      </c>
      <c r="E167" s="25" t="s">
        <v>12</v>
      </c>
      <c r="F167" s="26" t="s">
        <v>163</v>
      </c>
      <c r="G167" s="27">
        <v>490</v>
      </c>
      <c r="H167" s="28">
        <f>D167*L165</f>
        <v>25</v>
      </c>
      <c r="I167" s="29">
        <v>490</v>
      </c>
      <c r="J167" s="380" t="s">
        <v>15</v>
      </c>
      <c r="K167" s="381"/>
      <c r="L167" s="34">
        <f>G176*L165</f>
        <v>15000</v>
      </c>
    </row>
    <row r="168" spans="1:12" ht="15.75" x14ac:dyDescent="0.25">
      <c r="A168" s="363" t="s">
        <v>40</v>
      </c>
      <c r="B168" s="364"/>
      <c r="C168" s="365"/>
      <c r="D168" s="24">
        <v>2</v>
      </c>
      <c r="E168" s="25" t="s">
        <v>12</v>
      </c>
      <c r="F168" s="26" t="s">
        <v>164</v>
      </c>
      <c r="G168" s="27">
        <v>5</v>
      </c>
      <c r="H168" s="28">
        <f>D168*L165</f>
        <v>2</v>
      </c>
      <c r="I168" s="29">
        <v>5</v>
      </c>
      <c r="J168" s="2"/>
      <c r="K168" s="2"/>
      <c r="L168" s="2"/>
    </row>
    <row r="169" spans="1:12" ht="15.75" x14ac:dyDescent="0.25">
      <c r="A169" s="363" t="s">
        <v>35</v>
      </c>
      <c r="B169" s="364"/>
      <c r="C169" s="365"/>
      <c r="D169" s="24">
        <v>2</v>
      </c>
      <c r="E169" s="25" t="s">
        <v>12</v>
      </c>
      <c r="F169" s="26" t="s">
        <v>135</v>
      </c>
      <c r="G169" s="27">
        <v>22</v>
      </c>
      <c r="H169" s="28">
        <f>D169*L165</f>
        <v>2</v>
      </c>
      <c r="I169" s="29">
        <v>22</v>
      </c>
      <c r="J169" s="2"/>
      <c r="K169" s="2"/>
      <c r="L169" s="2"/>
    </row>
    <row r="170" spans="1:12" ht="16.5" thickBot="1" x14ac:dyDescent="0.3">
      <c r="A170" s="363"/>
      <c r="B170" s="364"/>
      <c r="C170" s="365"/>
      <c r="D170" s="24"/>
      <c r="E170" s="25"/>
      <c r="F170" s="26"/>
      <c r="G170" s="27">
        <f>D170*F170</f>
        <v>0</v>
      </c>
      <c r="H170" s="28">
        <f>D170*L165</f>
        <v>0</v>
      </c>
      <c r="I170" s="29">
        <f>F170*H170</f>
        <v>0</v>
      </c>
      <c r="J170" s="2"/>
      <c r="K170" s="2"/>
      <c r="L170" s="2"/>
    </row>
    <row r="171" spans="1:12" ht="15.75" x14ac:dyDescent="0.25">
      <c r="A171" s="50" t="s">
        <v>16</v>
      </c>
      <c r="B171" s="51"/>
      <c r="C171" s="51"/>
      <c r="D171" s="52"/>
      <c r="E171" s="52"/>
      <c r="F171" s="53"/>
      <c r="G171" s="20">
        <f>SUM(G165:G170)</f>
        <v>5366</v>
      </c>
      <c r="H171" s="2"/>
      <c r="I171" s="2"/>
      <c r="J171" s="2"/>
      <c r="K171" s="2"/>
      <c r="L171" s="2"/>
    </row>
    <row r="172" spans="1:12" ht="15.75" x14ac:dyDescent="0.25">
      <c r="A172" s="54" t="s">
        <v>17</v>
      </c>
      <c r="B172" s="55"/>
      <c r="C172" s="55"/>
      <c r="D172" s="56"/>
      <c r="E172" s="56"/>
      <c r="F172" s="57"/>
      <c r="G172" s="29">
        <f>G171*0.1</f>
        <v>536.6</v>
      </c>
      <c r="H172" s="2"/>
      <c r="I172" s="2"/>
      <c r="J172" s="2"/>
      <c r="K172" s="2"/>
      <c r="L172" s="2"/>
    </row>
    <row r="173" spans="1:12" ht="16.5" thickBot="1" x14ac:dyDescent="0.3">
      <c r="A173" s="54" t="s">
        <v>18</v>
      </c>
      <c r="B173" s="55"/>
      <c r="C173" s="55"/>
      <c r="D173" s="56"/>
      <c r="E173" s="56"/>
      <c r="F173" s="58"/>
      <c r="G173" s="29">
        <f>SUM(G171:G172)</f>
        <v>5902.6</v>
      </c>
      <c r="H173" s="2"/>
      <c r="I173" s="2"/>
      <c r="J173" s="2"/>
      <c r="K173" s="2"/>
      <c r="L173" s="2"/>
    </row>
    <row r="174" spans="1:12" ht="15.75" x14ac:dyDescent="0.25">
      <c r="A174" s="59" t="s">
        <v>19</v>
      </c>
      <c r="B174" s="33"/>
      <c r="C174" s="33"/>
      <c r="D174" s="60"/>
      <c r="E174" s="60"/>
      <c r="F174" s="61">
        <v>1</v>
      </c>
      <c r="G174" s="27">
        <f>G173/F174</f>
        <v>5902.6</v>
      </c>
      <c r="H174" s="2"/>
      <c r="I174" s="2"/>
      <c r="J174" s="2"/>
      <c r="K174" s="2"/>
      <c r="L174" s="2"/>
    </row>
    <row r="175" spans="1:12" ht="15.75" x14ac:dyDescent="0.25">
      <c r="A175" s="382" t="s">
        <v>20</v>
      </c>
      <c r="B175" s="364"/>
      <c r="C175" s="364"/>
      <c r="D175" s="364"/>
      <c r="E175" s="364"/>
      <c r="F175" s="365"/>
      <c r="G175" s="62">
        <f>G174/G176</f>
        <v>0.39350666666666667</v>
      </c>
      <c r="H175" s="2"/>
      <c r="I175" s="2"/>
      <c r="J175" s="2"/>
      <c r="K175" s="2"/>
      <c r="L175" s="2"/>
    </row>
    <row r="176" spans="1:12" ht="15.75" x14ac:dyDescent="0.25">
      <c r="A176" s="382" t="s">
        <v>21</v>
      </c>
      <c r="B176" s="364"/>
      <c r="C176" s="364"/>
      <c r="D176" s="364"/>
      <c r="E176" s="364"/>
      <c r="F176" s="365"/>
      <c r="G176" s="29">
        <v>15000</v>
      </c>
      <c r="H176" s="2"/>
      <c r="I176" s="2"/>
      <c r="J176" s="2"/>
      <c r="K176" s="2"/>
      <c r="L176" s="2"/>
    </row>
    <row r="177" spans="1:12" ht="15.75" x14ac:dyDescent="0.25">
      <c r="A177" s="382" t="s">
        <v>22</v>
      </c>
      <c r="B177" s="364"/>
      <c r="C177" s="364"/>
      <c r="D177" s="364"/>
      <c r="E177" s="364"/>
      <c r="F177" s="365"/>
      <c r="G177" s="29">
        <f>G176*0.08</f>
        <v>1200</v>
      </c>
      <c r="H177" s="2"/>
      <c r="I177" s="2"/>
      <c r="J177" s="2"/>
      <c r="K177" s="2"/>
      <c r="L177" s="2"/>
    </row>
    <row r="178" spans="1:12" ht="15.75" x14ac:dyDescent="0.25">
      <c r="A178" s="382" t="s">
        <v>23</v>
      </c>
      <c r="B178" s="364"/>
      <c r="C178" s="364"/>
      <c r="D178" s="364"/>
      <c r="E178" s="364"/>
      <c r="F178" s="365"/>
      <c r="G178" s="29">
        <f>G177+G176</f>
        <v>16200</v>
      </c>
      <c r="H178" s="2"/>
      <c r="I178" s="2"/>
      <c r="J178" s="2"/>
      <c r="K178" s="2"/>
      <c r="L178" s="2"/>
    </row>
    <row r="179" spans="1:12" ht="15.75" x14ac:dyDescent="0.25">
      <c r="A179" s="382" t="s">
        <v>24</v>
      </c>
      <c r="B179" s="364"/>
      <c r="C179" s="364"/>
      <c r="D179" s="364"/>
      <c r="E179" s="364"/>
      <c r="F179" s="365"/>
      <c r="G179" s="29">
        <f>G178</f>
        <v>16200</v>
      </c>
      <c r="H179" s="2"/>
      <c r="I179" s="2"/>
      <c r="J179" s="2"/>
      <c r="K179" s="2"/>
      <c r="L179" s="2"/>
    </row>
    <row r="180" spans="1:12" ht="16.5" thickBot="1" x14ac:dyDescent="0.3">
      <c r="A180" s="383" t="s">
        <v>25</v>
      </c>
      <c r="B180" s="384"/>
      <c r="C180" s="384"/>
      <c r="D180" s="384"/>
      <c r="E180" s="384"/>
      <c r="F180" s="385"/>
      <c r="G180" s="63">
        <f>(G174+G177)/G179</f>
        <v>0.4384320987654321</v>
      </c>
      <c r="H180" s="2"/>
      <c r="I180" s="2"/>
      <c r="J180" s="2"/>
      <c r="K180" s="2"/>
      <c r="L180" s="2"/>
    </row>
    <row r="181" spans="1:12" ht="15.7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x14ac:dyDescent="0.25">
      <c r="A182" s="366" t="s">
        <v>0</v>
      </c>
      <c r="B182" s="367"/>
      <c r="C182" s="367"/>
      <c r="D182" s="367"/>
      <c r="E182" s="367"/>
      <c r="F182" s="367"/>
      <c r="G182" s="367"/>
      <c r="H182" s="2"/>
      <c r="I182" s="2"/>
      <c r="J182" s="2"/>
      <c r="K182" s="2"/>
      <c r="L182" s="2"/>
    </row>
    <row r="183" spans="1:12" ht="15.75" x14ac:dyDescent="0.25">
      <c r="A183" s="1"/>
      <c r="B183" s="1"/>
      <c r="C183" s="1"/>
      <c r="D183" s="1"/>
      <c r="E183" s="1"/>
      <c r="F183" s="1"/>
      <c r="G183" s="3"/>
      <c r="H183" s="2"/>
      <c r="I183" s="2"/>
      <c r="J183" s="2"/>
      <c r="K183" s="2"/>
      <c r="L183" s="2"/>
    </row>
    <row r="184" spans="1:12" ht="15.75" x14ac:dyDescent="0.25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</row>
    <row r="185" spans="1:12" ht="15.75" x14ac:dyDescent="0.25">
      <c r="A185" s="2" t="s">
        <v>1</v>
      </c>
      <c r="B185" s="368" t="s">
        <v>203</v>
      </c>
      <c r="C185" s="369"/>
      <c r="D185" s="369"/>
      <c r="E185" s="369"/>
      <c r="F185" s="369"/>
      <c r="G185" s="369"/>
      <c r="H185" s="2"/>
      <c r="I185" s="2"/>
      <c r="J185" s="2"/>
      <c r="K185" s="2"/>
      <c r="L185" s="2"/>
    </row>
    <row r="186" spans="1:12" ht="15.7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6.5" thickBo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6.5" thickBot="1" x14ac:dyDescent="0.3">
      <c r="A188" s="4"/>
      <c r="B188" s="5"/>
      <c r="C188" s="6"/>
      <c r="D188" s="7"/>
      <c r="E188" s="7"/>
      <c r="F188" s="8" t="s">
        <v>2</v>
      </c>
      <c r="G188" s="9"/>
      <c r="H188" s="2"/>
      <c r="I188" s="370"/>
      <c r="J188" s="367"/>
      <c r="K188" s="367"/>
      <c r="L188" s="2"/>
    </row>
    <row r="189" spans="1:12" ht="16.5" thickBot="1" x14ac:dyDescent="0.3">
      <c r="A189" s="371" t="s">
        <v>3</v>
      </c>
      <c r="B189" s="367"/>
      <c r="C189" s="372"/>
      <c r="D189" s="10" t="s">
        <v>4</v>
      </c>
      <c r="E189" s="10" t="s">
        <v>5</v>
      </c>
      <c r="F189" s="373" t="s">
        <v>6</v>
      </c>
      <c r="G189" s="374"/>
      <c r="H189" s="2"/>
      <c r="I189" s="2"/>
      <c r="J189" s="2"/>
      <c r="K189" s="2"/>
      <c r="L189" s="2"/>
    </row>
    <row r="190" spans="1:12" ht="16.5" thickBot="1" x14ac:dyDescent="0.3">
      <c r="A190" s="11"/>
      <c r="B190" s="2"/>
      <c r="C190" s="12"/>
      <c r="D190" s="13"/>
      <c r="E190" s="13"/>
      <c r="F190" s="4" t="s">
        <v>7</v>
      </c>
      <c r="G190" s="14" t="s">
        <v>8</v>
      </c>
      <c r="H190" s="4" t="s">
        <v>9</v>
      </c>
      <c r="I190" s="4" t="s">
        <v>10</v>
      </c>
      <c r="J190" s="375" t="s">
        <v>11</v>
      </c>
      <c r="K190" s="376"/>
      <c r="L190" s="374"/>
    </row>
    <row r="191" spans="1:12" ht="15.75" x14ac:dyDescent="0.25">
      <c r="A191" s="386" t="s">
        <v>69</v>
      </c>
      <c r="B191" s="378"/>
      <c r="C191" s="379"/>
      <c r="D191" s="15">
        <v>250</v>
      </c>
      <c r="E191" s="16" t="s">
        <v>12</v>
      </c>
      <c r="F191" s="17">
        <v>57</v>
      </c>
      <c r="G191" s="18">
        <f>F191*D191</f>
        <v>14250</v>
      </c>
      <c r="H191" s="19">
        <f>D191*L191</f>
        <v>250</v>
      </c>
      <c r="I191" s="20">
        <f t="shared" ref="I191:I195" si="4">F191*H191</f>
        <v>14250</v>
      </c>
      <c r="J191" s="21" t="s">
        <v>13</v>
      </c>
      <c r="K191" s="22"/>
      <c r="L191" s="23">
        <v>1</v>
      </c>
    </row>
    <row r="192" spans="1:12" ht="15.75" x14ac:dyDescent="0.25">
      <c r="A192" s="363" t="s">
        <v>40</v>
      </c>
      <c r="B192" s="364"/>
      <c r="C192" s="365"/>
      <c r="D192" s="24">
        <v>3</v>
      </c>
      <c r="E192" s="25" t="s">
        <v>12</v>
      </c>
      <c r="F192" s="26" t="s">
        <v>133</v>
      </c>
      <c r="G192" s="27" t="s">
        <v>137</v>
      </c>
      <c r="H192" s="28">
        <f>D192*L191</f>
        <v>3</v>
      </c>
      <c r="I192" s="71" t="s">
        <v>140</v>
      </c>
      <c r="J192" s="30" t="s">
        <v>14</v>
      </c>
      <c r="K192" s="31"/>
      <c r="L192" s="32">
        <f>SUM(I191:I195)</f>
        <v>14250</v>
      </c>
    </row>
    <row r="193" spans="1:12" ht="15.75" x14ac:dyDescent="0.25">
      <c r="A193" s="363" t="s">
        <v>41</v>
      </c>
      <c r="B193" s="364"/>
      <c r="C193" s="365"/>
      <c r="D193" s="24">
        <v>1</v>
      </c>
      <c r="E193" s="25" t="s">
        <v>12</v>
      </c>
      <c r="F193" s="26" t="s">
        <v>134</v>
      </c>
      <c r="G193" s="27" t="s">
        <v>136</v>
      </c>
      <c r="H193" s="28">
        <f>D193*L191</f>
        <v>1</v>
      </c>
      <c r="I193" s="71" t="s">
        <v>139</v>
      </c>
      <c r="J193" s="380" t="s">
        <v>15</v>
      </c>
      <c r="K193" s="381"/>
      <c r="L193" s="34">
        <f>G201*L191</f>
        <v>20000</v>
      </c>
    </row>
    <row r="194" spans="1:12" ht="15.75" x14ac:dyDescent="0.25">
      <c r="A194" s="363" t="s">
        <v>70</v>
      </c>
      <c r="B194" s="364"/>
      <c r="C194" s="365"/>
      <c r="D194" s="24">
        <v>5</v>
      </c>
      <c r="E194" s="25" t="s">
        <v>12</v>
      </c>
      <c r="F194" s="26" t="s">
        <v>135</v>
      </c>
      <c r="G194" s="70" t="s">
        <v>138</v>
      </c>
      <c r="H194" s="28">
        <v>5</v>
      </c>
      <c r="I194" s="71" t="s">
        <v>141</v>
      </c>
      <c r="J194" s="2"/>
      <c r="K194" s="2"/>
      <c r="L194" s="2"/>
    </row>
    <row r="195" spans="1:12" ht="16.5" thickBot="1" x14ac:dyDescent="0.3">
      <c r="A195" s="363"/>
      <c r="B195" s="364"/>
      <c r="C195" s="365"/>
      <c r="D195" s="24"/>
      <c r="E195" s="25"/>
      <c r="F195" s="26"/>
      <c r="G195" s="27">
        <f t="shared" ref="G195" si="5">D195*F195</f>
        <v>0</v>
      </c>
      <c r="H195" s="28">
        <f>D195*L191</f>
        <v>0</v>
      </c>
      <c r="I195" s="29">
        <f t="shared" si="4"/>
        <v>0</v>
      </c>
      <c r="J195" s="2"/>
      <c r="K195" s="2"/>
      <c r="L195" s="2"/>
    </row>
    <row r="196" spans="1:12" ht="15.75" x14ac:dyDescent="0.25">
      <c r="A196" s="50" t="s">
        <v>16</v>
      </c>
      <c r="B196" s="51"/>
      <c r="C196" s="51"/>
      <c r="D196" s="52"/>
      <c r="E196" s="52"/>
      <c r="F196" s="53"/>
      <c r="G196" s="20">
        <f>SUM(G191:G195)</f>
        <v>14250</v>
      </c>
      <c r="H196" s="2"/>
      <c r="I196" s="2"/>
      <c r="J196" s="2"/>
      <c r="K196" s="2"/>
      <c r="L196" s="2"/>
    </row>
    <row r="197" spans="1:12" ht="15.75" x14ac:dyDescent="0.25">
      <c r="A197" s="54" t="s">
        <v>17</v>
      </c>
      <c r="B197" s="55"/>
      <c r="C197" s="55"/>
      <c r="D197" s="56"/>
      <c r="E197" s="56"/>
      <c r="F197" s="57"/>
      <c r="G197" s="29">
        <f>G196*0.1</f>
        <v>1425</v>
      </c>
      <c r="H197" s="2"/>
      <c r="I197" s="2"/>
      <c r="J197" s="2"/>
      <c r="K197" s="2"/>
      <c r="L197" s="2"/>
    </row>
    <row r="198" spans="1:12" ht="16.5" thickBot="1" x14ac:dyDescent="0.3">
      <c r="A198" s="54" t="s">
        <v>18</v>
      </c>
      <c r="B198" s="55"/>
      <c r="C198" s="55"/>
      <c r="D198" s="56"/>
      <c r="E198" s="56"/>
      <c r="F198" s="58"/>
      <c r="G198" s="29">
        <f>SUM(G196:G197)</f>
        <v>15675</v>
      </c>
      <c r="H198" s="2"/>
      <c r="I198" s="2"/>
      <c r="J198" s="2"/>
      <c r="K198" s="2"/>
      <c r="L198" s="2"/>
    </row>
    <row r="199" spans="1:12" ht="15.75" x14ac:dyDescent="0.25">
      <c r="A199" s="59" t="s">
        <v>19</v>
      </c>
      <c r="B199" s="33"/>
      <c r="C199" s="33"/>
      <c r="D199" s="60"/>
      <c r="E199" s="60"/>
      <c r="F199" s="61">
        <v>1</v>
      </c>
      <c r="G199" s="27">
        <f>G198/F199</f>
        <v>15675</v>
      </c>
      <c r="H199" s="2"/>
      <c r="I199" s="2"/>
      <c r="J199" s="2"/>
      <c r="K199" s="2"/>
      <c r="L199" s="2"/>
    </row>
    <row r="200" spans="1:12" ht="15.75" x14ac:dyDescent="0.25">
      <c r="A200" s="382" t="s">
        <v>20</v>
      </c>
      <c r="B200" s="364"/>
      <c r="C200" s="364"/>
      <c r="D200" s="364"/>
      <c r="E200" s="364"/>
      <c r="F200" s="365"/>
      <c r="G200" s="62">
        <f>G199/G201</f>
        <v>0.78374999999999995</v>
      </c>
      <c r="H200" s="2"/>
      <c r="I200" s="2"/>
      <c r="J200" s="2"/>
      <c r="K200" s="2"/>
      <c r="L200" s="2"/>
    </row>
    <row r="201" spans="1:12" ht="15.75" x14ac:dyDescent="0.25">
      <c r="A201" s="382" t="s">
        <v>21</v>
      </c>
      <c r="B201" s="364"/>
      <c r="C201" s="364"/>
      <c r="D201" s="364"/>
      <c r="E201" s="364"/>
      <c r="F201" s="365"/>
      <c r="G201" s="29">
        <v>20000</v>
      </c>
      <c r="H201" s="2"/>
      <c r="I201" s="2"/>
      <c r="J201" s="2"/>
      <c r="K201" s="2"/>
      <c r="L201" s="2"/>
    </row>
    <row r="202" spans="1:12" ht="15.75" x14ac:dyDescent="0.25">
      <c r="A202" s="382" t="s">
        <v>22</v>
      </c>
      <c r="B202" s="364"/>
      <c r="C202" s="364"/>
      <c r="D202" s="364"/>
      <c r="E202" s="364"/>
      <c r="F202" s="365"/>
      <c r="G202" s="29">
        <f>G201*0.08</f>
        <v>1600</v>
      </c>
      <c r="H202" s="2"/>
      <c r="I202" s="2"/>
      <c r="J202" s="2"/>
      <c r="K202" s="2"/>
      <c r="L202" s="2"/>
    </row>
    <row r="203" spans="1:12" ht="15.75" x14ac:dyDescent="0.25">
      <c r="A203" s="382" t="s">
        <v>23</v>
      </c>
      <c r="B203" s="364"/>
      <c r="C203" s="364"/>
      <c r="D203" s="364"/>
      <c r="E203" s="364"/>
      <c r="F203" s="365"/>
      <c r="G203" s="29">
        <f>G202+G201</f>
        <v>21600</v>
      </c>
      <c r="H203" s="2"/>
      <c r="I203" s="2"/>
      <c r="J203" s="2"/>
      <c r="K203" s="2"/>
      <c r="L203" s="2"/>
    </row>
    <row r="204" spans="1:12" ht="15.75" x14ac:dyDescent="0.25">
      <c r="A204" s="382" t="s">
        <v>24</v>
      </c>
      <c r="B204" s="364"/>
      <c r="C204" s="364"/>
      <c r="D204" s="364"/>
      <c r="E204" s="364"/>
      <c r="F204" s="365"/>
      <c r="G204" s="29">
        <f>G203</f>
        <v>21600</v>
      </c>
      <c r="H204" s="2"/>
      <c r="I204" s="2"/>
      <c r="J204" s="2"/>
      <c r="K204" s="2"/>
      <c r="L204" s="2"/>
    </row>
    <row r="205" spans="1:12" ht="16.5" thickBot="1" x14ac:dyDescent="0.3">
      <c r="A205" s="383" t="s">
        <v>25</v>
      </c>
      <c r="B205" s="384"/>
      <c r="C205" s="384"/>
      <c r="D205" s="384"/>
      <c r="E205" s="384"/>
      <c r="F205" s="385"/>
      <c r="G205" s="63">
        <f>(G199+G202)/G204</f>
        <v>0.79976851851851849</v>
      </c>
      <c r="H205" s="2"/>
      <c r="I205" s="2"/>
      <c r="J205" s="2"/>
      <c r="K205" s="2"/>
      <c r="L205" s="2"/>
    </row>
    <row r="206" spans="1:12" ht="15.7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x14ac:dyDescent="0.25">
      <c r="A207" s="366" t="s">
        <v>0</v>
      </c>
      <c r="B207" s="367"/>
      <c r="C207" s="367"/>
      <c r="D207" s="367"/>
      <c r="E207" s="367"/>
      <c r="F207" s="367"/>
      <c r="G207" s="367"/>
      <c r="H207" s="2"/>
      <c r="I207" s="2"/>
      <c r="J207" s="2"/>
      <c r="K207" s="2"/>
      <c r="L207" s="2"/>
    </row>
    <row r="208" spans="1:12" ht="15.75" x14ac:dyDescent="0.25">
      <c r="A208" s="1"/>
      <c r="B208" s="1"/>
      <c r="C208" s="1"/>
      <c r="D208" s="1"/>
      <c r="E208" s="1"/>
      <c r="F208" s="1"/>
      <c r="G208" s="3"/>
      <c r="H208" s="2"/>
      <c r="I208" s="2"/>
      <c r="J208" s="2"/>
      <c r="K208" s="2"/>
      <c r="L208" s="2"/>
    </row>
    <row r="209" spans="1:12" ht="15.75" x14ac:dyDescent="0.25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</row>
    <row r="210" spans="1:12" ht="15.75" x14ac:dyDescent="0.25">
      <c r="A210" s="2" t="s">
        <v>1</v>
      </c>
      <c r="B210" s="404" t="s">
        <v>205</v>
      </c>
      <c r="C210" s="369"/>
      <c r="D210" s="369"/>
      <c r="E210" s="369"/>
      <c r="F210" s="369"/>
      <c r="G210" s="369"/>
      <c r="H210" s="2"/>
      <c r="I210" s="2"/>
      <c r="J210" s="2"/>
      <c r="K210" s="2"/>
      <c r="L210" s="2"/>
    </row>
    <row r="211" spans="1:12" ht="15.7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6.5" thickBo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6.5" thickBot="1" x14ac:dyDescent="0.3">
      <c r="A213" s="4"/>
      <c r="B213" s="5"/>
      <c r="C213" s="6"/>
      <c r="D213" s="7"/>
      <c r="E213" s="7"/>
      <c r="F213" s="8" t="s">
        <v>2</v>
      </c>
      <c r="G213" s="9"/>
      <c r="H213" s="2"/>
      <c r="I213" s="370"/>
      <c r="J213" s="367"/>
      <c r="K213" s="367"/>
      <c r="L213" s="2"/>
    </row>
    <row r="214" spans="1:12" ht="16.5" thickBot="1" x14ac:dyDescent="0.3">
      <c r="A214" s="371" t="s">
        <v>3</v>
      </c>
      <c r="B214" s="367"/>
      <c r="C214" s="372"/>
      <c r="D214" s="10" t="s">
        <v>4</v>
      </c>
      <c r="E214" s="10" t="s">
        <v>5</v>
      </c>
      <c r="F214" s="373" t="s">
        <v>6</v>
      </c>
      <c r="G214" s="374"/>
      <c r="H214" s="2"/>
      <c r="I214" s="2"/>
      <c r="J214" s="2"/>
      <c r="K214" s="2"/>
      <c r="L214" s="2"/>
    </row>
    <row r="215" spans="1:12" ht="16.5" thickBot="1" x14ac:dyDescent="0.3">
      <c r="A215" s="11"/>
      <c r="B215" s="2"/>
      <c r="C215" s="12"/>
      <c r="D215" s="13"/>
      <c r="E215" s="13"/>
      <c r="F215" s="4" t="s">
        <v>7</v>
      </c>
      <c r="G215" s="14" t="s">
        <v>8</v>
      </c>
      <c r="H215" s="4" t="s">
        <v>9</v>
      </c>
      <c r="I215" s="4" t="s">
        <v>10</v>
      </c>
      <c r="J215" s="375" t="s">
        <v>11</v>
      </c>
      <c r="K215" s="376"/>
      <c r="L215" s="374"/>
    </row>
    <row r="216" spans="1:12" ht="15.75" x14ac:dyDescent="0.25">
      <c r="A216" s="386" t="s">
        <v>53</v>
      </c>
      <c r="B216" s="378"/>
      <c r="C216" s="379"/>
      <c r="D216" s="15">
        <v>250</v>
      </c>
      <c r="E216" s="16" t="s">
        <v>12</v>
      </c>
      <c r="F216" s="17">
        <v>22</v>
      </c>
      <c r="G216" s="18">
        <f>F216*D216</f>
        <v>5500</v>
      </c>
      <c r="H216" s="19">
        <f>D216*L216</f>
        <v>250</v>
      </c>
      <c r="I216" s="20">
        <f t="shared" ref="I216:I221" si="6">F216*H216</f>
        <v>5500</v>
      </c>
      <c r="J216" s="21" t="s">
        <v>13</v>
      </c>
      <c r="K216" s="22"/>
      <c r="L216" s="23">
        <v>1</v>
      </c>
    </row>
    <row r="217" spans="1:12" ht="15.75" x14ac:dyDescent="0.25">
      <c r="A217" s="363" t="s">
        <v>35</v>
      </c>
      <c r="B217" s="364"/>
      <c r="C217" s="365"/>
      <c r="D217" s="24">
        <v>3</v>
      </c>
      <c r="E217" s="25" t="s">
        <v>12</v>
      </c>
      <c r="F217" s="26">
        <v>11</v>
      </c>
      <c r="G217" s="27">
        <f>D217*F217</f>
        <v>33</v>
      </c>
      <c r="H217" s="28">
        <f>D217*L216</f>
        <v>3</v>
      </c>
      <c r="I217" s="29">
        <f t="shared" si="6"/>
        <v>33</v>
      </c>
      <c r="J217" s="30" t="s">
        <v>14</v>
      </c>
      <c r="K217" s="31"/>
      <c r="L217" s="32">
        <f>SUM(I216:I221)</f>
        <v>11400.220000000001</v>
      </c>
    </row>
    <row r="218" spans="1:12" ht="15.75" x14ac:dyDescent="0.25">
      <c r="A218" s="363" t="s">
        <v>40</v>
      </c>
      <c r="B218" s="364"/>
      <c r="C218" s="365"/>
      <c r="D218" s="24">
        <v>2</v>
      </c>
      <c r="E218" s="25" t="s">
        <v>12</v>
      </c>
      <c r="F218" s="26">
        <v>2.61</v>
      </c>
      <c r="G218" s="27">
        <f>D218*F218</f>
        <v>5.22</v>
      </c>
      <c r="H218" s="28">
        <f>D218*L216</f>
        <v>2</v>
      </c>
      <c r="I218" s="29">
        <f t="shared" si="6"/>
        <v>5.22</v>
      </c>
      <c r="J218" s="380" t="s">
        <v>15</v>
      </c>
      <c r="K218" s="381"/>
      <c r="L218" s="34">
        <f>G227*L216</f>
        <v>15000</v>
      </c>
    </row>
    <row r="219" spans="1:12" ht="15.75" x14ac:dyDescent="0.25">
      <c r="A219" s="363" t="s">
        <v>41</v>
      </c>
      <c r="B219" s="364"/>
      <c r="C219" s="365"/>
      <c r="D219" s="24">
        <v>1</v>
      </c>
      <c r="E219" s="25" t="s">
        <v>12</v>
      </c>
      <c r="F219" s="26">
        <v>5817</v>
      </c>
      <c r="G219" s="27">
        <f>D219*F219</f>
        <v>5817</v>
      </c>
      <c r="H219" s="28">
        <f>D219*L216</f>
        <v>1</v>
      </c>
      <c r="I219" s="29">
        <f t="shared" si="6"/>
        <v>5817</v>
      </c>
      <c r="J219" s="2"/>
      <c r="K219" s="2"/>
      <c r="L219" s="2"/>
    </row>
    <row r="220" spans="1:12" ht="15.75" x14ac:dyDescent="0.25">
      <c r="A220" s="363" t="s">
        <v>58</v>
      </c>
      <c r="B220" s="364"/>
      <c r="C220" s="365"/>
      <c r="D220" s="24">
        <v>3</v>
      </c>
      <c r="E220" s="25" t="s">
        <v>59</v>
      </c>
      <c r="F220" s="26">
        <v>15</v>
      </c>
      <c r="G220" s="27">
        <f>D220*F220</f>
        <v>45</v>
      </c>
      <c r="H220" s="28">
        <f>D220*L216</f>
        <v>3</v>
      </c>
      <c r="I220" s="29">
        <f t="shared" si="6"/>
        <v>45</v>
      </c>
      <c r="J220" s="2"/>
      <c r="K220" s="2"/>
      <c r="L220" s="2"/>
    </row>
    <row r="221" spans="1:12" ht="16.5" thickBot="1" x14ac:dyDescent="0.3">
      <c r="A221" s="363"/>
      <c r="B221" s="364"/>
      <c r="C221" s="365"/>
      <c r="D221" s="24"/>
      <c r="E221" s="25"/>
      <c r="F221" s="26"/>
      <c r="G221" s="27">
        <f>D221*F221</f>
        <v>0</v>
      </c>
      <c r="H221" s="28">
        <f>D221*L216</f>
        <v>0</v>
      </c>
      <c r="I221" s="29">
        <f t="shared" si="6"/>
        <v>0</v>
      </c>
      <c r="J221" s="2"/>
      <c r="K221" s="2"/>
      <c r="L221" s="2"/>
    </row>
    <row r="222" spans="1:12" ht="15.75" x14ac:dyDescent="0.25">
      <c r="A222" s="50" t="s">
        <v>16</v>
      </c>
      <c r="B222" s="51"/>
      <c r="C222" s="51"/>
      <c r="D222" s="52"/>
      <c r="E222" s="52"/>
      <c r="F222" s="53"/>
      <c r="G222" s="20">
        <f>SUM(G216:G221)</f>
        <v>11400.220000000001</v>
      </c>
      <c r="H222" s="2"/>
      <c r="I222" s="2"/>
      <c r="J222" s="2"/>
      <c r="K222" s="2"/>
      <c r="L222" s="2"/>
    </row>
    <row r="223" spans="1:12" ht="15.75" x14ac:dyDescent="0.25">
      <c r="A223" s="54" t="s">
        <v>17</v>
      </c>
      <c r="B223" s="55"/>
      <c r="C223" s="55"/>
      <c r="D223" s="56"/>
      <c r="E223" s="56"/>
      <c r="F223" s="57"/>
      <c r="G223" s="29">
        <f>G222*0.1</f>
        <v>1140.0220000000002</v>
      </c>
      <c r="H223" s="2"/>
      <c r="I223" s="2"/>
      <c r="J223" s="2"/>
      <c r="K223" s="2"/>
      <c r="L223" s="2"/>
    </row>
    <row r="224" spans="1:12" ht="16.5" thickBot="1" x14ac:dyDescent="0.3">
      <c r="A224" s="54" t="s">
        <v>18</v>
      </c>
      <c r="B224" s="55"/>
      <c r="C224" s="55"/>
      <c r="D224" s="56"/>
      <c r="E224" s="56"/>
      <c r="F224" s="58"/>
      <c r="G224" s="29">
        <f>SUM(G222:G223)</f>
        <v>12540.242000000002</v>
      </c>
      <c r="H224" s="2"/>
      <c r="I224" s="2"/>
      <c r="J224" s="2"/>
      <c r="K224" s="2"/>
      <c r="L224" s="2"/>
    </row>
    <row r="225" spans="1:12" ht="15.75" x14ac:dyDescent="0.25">
      <c r="A225" s="59" t="s">
        <v>19</v>
      </c>
      <c r="B225" s="33"/>
      <c r="C225" s="33"/>
      <c r="D225" s="60"/>
      <c r="E225" s="60"/>
      <c r="F225" s="61">
        <v>1</v>
      </c>
      <c r="G225" s="27">
        <f>G224/F225</f>
        <v>12540.242000000002</v>
      </c>
      <c r="H225" s="2"/>
      <c r="I225" s="2"/>
      <c r="J225" s="2"/>
      <c r="K225" s="2"/>
      <c r="L225" s="2"/>
    </row>
    <row r="226" spans="1:12" ht="15.75" x14ac:dyDescent="0.25">
      <c r="A226" s="382" t="s">
        <v>20</v>
      </c>
      <c r="B226" s="364"/>
      <c r="C226" s="364"/>
      <c r="D226" s="364"/>
      <c r="E226" s="364"/>
      <c r="F226" s="365"/>
      <c r="G226" s="62">
        <f>G225/G227</f>
        <v>0.83601613333333347</v>
      </c>
      <c r="H226" s="2"/>
      <c r="I226" s="2"/>
      <c r="J226" s="2"/>
      <c r="K226" s="2"/>
      <c r="L226" s="2"/>
    </row>
    <row r="227" spans="1:12" ht="15.75" x14ac:dyDescent="0.25">
      <c r="A227" s="382" t="s">
        <v>21</v>
      </c>
      <c r="B227" s="364"/>
      <c r="C227" s="364"/>
      <c r="D227" s="364"/>
      <c r="E227" s="364"/>
      <c r="F227" s="365"/>
      <c r="G227" s="29">
        <v>15000</v>
      </c>
      <c r="H227" s="2"/>
      <c r="I227" s="2"/>
      <c r="J227" s="2"/>
      <c r="K227" s="2"/>
      <c r="L227" s="2"/>
    </row>
    <row r="228" spans="1:12" ht="15.75" x14ac:dyDescent="0.25">
      <c r="A228" s="382" t="s">
        <v>22</v>
      </c>
      <c r="B228" s="364"/>
      <c r="C228" s="364"/>
      <c r="D228" s="364"/>
      <c r="E228" s="364"/>
      <c r="F228" s="365"/>
      <c r="G228" s="29">
        <f>G227*0.08</f>
        <v>1200</v>
      </c>
      <c r="H228" s="2"/>
      <c r="I228" s="2"/>
      <c r="J228" s="2"/>
      <c r="K228" s="2"/>
      <c r="L228" s="2"/>
    </row>
    <row r="229" spans="1:12" ht="15.75" x14ac:dyDescent="0.25">
      <c r="A229" s="382" t="s">
        <v>23</v>
      </c>
      <c r="B229" s="364"/>
      <c r="C229" s="364"/>
      <c r="D229" s="364"/>
      <c r="E229" s="364"/>
      <c r="F229" s="365"/>
      <c r="G229" s="29">
        <f>G228+G227</f>
        <v>16200</v>
      </c>
      <c r="H229" s="2"/>
      <c r="I229" s="2"/>
      <c r="J229" s="2"/>
      <c r="K229" s="2"/>
      <c r="L229" s="2"/>
    </row>
    <row r="230" spans="1:12" ht="15.75" x14ac:dyDescent="0.25">
      <c r="A230" s="382" t="s">
        <v>24</v>
      </c>
      <c r="B230" s="364"/>
      <c r="C230" s="364"/>
      <c r="D230" s="364"/>
      <c r="E230" s="364"/>
      <c r="F230" s="365"/>
      <c r="G230" s="29">
        <f>G229</f>
        <v>16200</v>
      </c>
      <c r="H230" s="2"/>
      <c r="I230" s="2"/>
      <c r="J230" s="2"/>
      <c r="K230" s="2"/>
      <c r="L230" s="2"/>
    </row>
    <row r="231" spans="1:12" ht="16.5" thickBot="1" x14ac:dyDescent="0.3">
      <c r="A231" s="383" t="s">
        <v>25</v>
      </c>
      <c r="B231" s="384"/>
      <c r="C231" s="384"/>
      <c r="D231" s="384"/>
      <c r="E231" s="384"/>
      <c r="F231" s="385"/>
      <c r="G231" s="63">
        <f>(G225+G228)/G230</f>
        <v>0.84816308641975324</v>
      </c>
      <c r="H231" s="2"/>
      <c r="I231" s="2"/>
      <c r="J231" s="2"/>
      <c r="K231" s="2"/>
      <c r="L231" s="2"/>
    </row>
    <row r="232" spans="1:12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.75" x14ac:dyDescent="0.25">
      <c r="A233" s="366" t="s">
        <v>0</v>
      </c>
      <c r="B233" s="367"/>
      <c r="C233" s="367"/>
      <c r="D233" s="367"/>
      <c r="E233" s="367"/>
      <c r="F233" s="367"/>
      <c r="G233" s="367"/>
      <c r="H233" s="2"/>
      <c r="I233" s="2"/>
      <c r="J233" s="2"/>
      <c r="K233" s="2"/>
      <c r="L233" s="2"/>
    </row>
    <row r="234" spans="1:12" ht="15.75" x14ac:dyDescent="0.25">
      <c r="A234" s="1"/>
      <c r="B234" s="1"/>
      <c r="C234" s="1"/>
      <c r="D234" s="1"/>
      <c r="E234" s="1"/>
      <c r="F234" s="1"/>
      <c r="G234" s="3"/>
      <c r="H234" s="2"/>
      <c r="I234" s="2"/>
      <c r="J234" s="2"/>
      <c r="K234" s="2"/>
      <c r="L234" s="2"/>
    </row>
    <row r="235" spans="1:12" ht="15.75" x14ac:dyDescent="0.25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</row>
    <row r="236" spans="1:12" ht="15.75" x14ac:dyDescent="0.25">
      <c r="A236" s="2" t="s">
        <v>1</v>
      </c>
      <c r="B236" s="404" t="s">
        <v>206</v>
      </c>
      <c r="C236" s="369"/>
      <c r="D236" s="369"/>
      <c r="E236" s="369"/>
      <c r="F236" s="369"/>
      <c r="G236" s="369"/>
      <c r="H236" s="2"/>
      <c r="I236" s="2"/>
      <c r="J236" s="2"/>
      <c r="K236" s="2"/>
      <c r="L236" s="2"/>
    </row>
    <row r="237" spans="1:12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6.5" thickBo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6.5" thickBot="1" x14ac:dyDescent="0.3">
      <c r="A239" s="4"/>
      <c r="B239" s="5"/>
      <c r="C239" s="6"/>
      <c r="D239" s="7"/>
      <c r="E239" s="7"/>
      <c r="F239" s="8" t="s">
        <v>2</v>
      </c>
      <c r="G239" s="9"/>
      <c r="H239" s="2"/>
      <c r="I239" s="370"/>
      <c r="J239" s="367"/>
      <c r="K239" s="367"/>
      <c r="L239" s="2"/>
    </row>
    <row r="240" spans="1:12" ht="16.5" thickBot="1" x14ac:dyDescent="0.3">
      <c r="A240" s="371" t="s">
        <v>3</v>
      </c>
      <c r="B240" s="367"/>
      <c r="C240" s="372"/>
      <c r="D240" s="10" t="s">
        <v>4</v>
      </c>
      <c r="E240" s="10" t="s">
        <v>5</v>
      </c>
      <c r="F240" s="373" t="s">
        <v>6</v>
      </c>
      <c r="G240" s="374"/>
      <c r="H240" s="2"/>
      <c r="I240" s="2"/>
      <c r="J240" s="2"/>
      <c r="K240" s="2"/>
      <c r="L240" s="2"/>
    </row>
    <row r="241" spans="1:12" ht="16.5" thickBot="1" x14ac:dyDescent="0.3">
      <c r="A241" s="11"/>
      <c r="B241" s="2"/>
      <c r="C241" s="12"/>
      <c r="D241" s="13"/>
      <c r="E241" s="13"/>
      <c r="F241" s="4" t="s">
        <v>7</v>
      </c>
      <c r="G241" s="14" t="s">
        <v>8</v>
      </c>
      <c r="H241" s="4" t="s">
        <v>9</v>
      </c>
      <c r="I241" s="4" t="s">
        <v>10</v>
      </c>
      <c r="J241" s="375" t="s">
        <v>11</v>
      </c>
      <c r="K241" s="376"/>
      <c r="L241" s="374"/>
    </row>
    <row r="242" spans="1:12" ht="15.75" x14ac:dyDescent="0.25">
      <c r="A242" s="386" t="s">
        <v>31</v>
      </c>
      <c r="B242" s="378"/>
      <c r="C242" s="379"/>
      <c r="D242" s="15">
        <v>180</v>
      </c>
      <c r="E242" s="16" t="s">
        <v>12</v>
      </c>
      <c r="F242" s="17">
        <v>1.5</v>
      </c>
      <c r="G242" s="18">
        <f t="shared" ref="G242:G248" si="7">D242*F242</f>
        <v>270</v>
      </c>
      <c r="H242" s="19">
        <f>D242*L242</f>
        <v>180</v>
      </c>
      <c r="I242" s="20">
        <f t="shared" ref="I242:I248" si="8">F242*H242</f>
        <v>270</v>
      </c>
      <c r="J242" s="21" t="s">
        <v>13</v>
      </c>
      <c r="K242" s="22"/>
      <c r="L242" s="23">
        <v>1</v>
      </c>
    </row>
    <row r="243" spans="1:12" ht="15.75" x14ac:dyDescent="0.25">
      <c r="A243" s="363" t="s">
        <v>32</v>
      </c>
      <c r="B243" s="364"/>
      <c r="C243" s="365"/>
      <c r="D243" s="24">
        <v>30</v>
      </c>
      <c r="E243" s="25" t="s">
        <v>12</v>
      </c>
      <c r="F243" s="26">
        <v>2.91</v>
      </c>
      <c r="G243" s="27">
        <f t="shared" si="7"/>
        <v>87.300000000000011</v>
      </c>
      <c r="H243" s="28">
        <f>D243*L242</f>
        <v>30</v>
      </c>
      <c r="I243" s="29">
        <f t="shared" si="8"/>
        <v>87.300000000000011</v>
      </c>
      <c r="J243" s="30" t="s">
        <v>14</v>
      </c>
      <c r="K243" s="31"/>
      <c r="L243" s="32">
        <f>SUM(I242:I248)</f>
        <v>4408.3</v>
      </c>
    </row>
    <row r="244" spans="1:12" ht="15.75" x14ac:dyDescent="0.25">
      <c r="A244" s="363" t="s">
        <v>33</v>
      </c>
      <c r="B244" s="364"/>
      <c r="C244" s="365"/>
      <c r="D244" s="24">
        <v>50</v>
      </c>
      <c r="E244" s="25" t="s">
        <v>12</v>
      </c>
      <c r="F244" s="26">
        <v>26.35</v>
      </c>
      <c r="G244" s="27">
        <f t="shared" si="7"/>
        <v>1317.5</v>
      </c>
      <c r="H244" s="28">
        <f>D244*L242</f>
        <v>50</v>
      </c>
      <c r="I244" s="29">
        <f t="shared" si="8"/>
        <v>1317.5</v>
      </c>
      <c r="J244" s="380" t="s">
        <v>15</v>
      </c>
      <c r="K244" s="381"/>
      <c r="L244" s="34">
        <f>G254*L242</f>
        <v>9000</v>
      </c>
    </row>
    <row r="245" spans="1:12" ht="15.75" x14ac:dyDescent="0.25">
      <c r="A245" s="402" t="s">
        <v>131</v>
      </c>
      <c r="B245" s="364"/>
      <c r="C245" s="365"/>
      <c r="D245" s="24">
        <v>10</v>
      </c>
      <c r="E245" s="25" t="s">
        <v>12</v>
      </c>
      <c r="F245" s="26">
        <v>31.6</v>
      </c>
      <c r="G245" s="27">
        <f t="shared" si="7"/>
        <v>316</v>
      </c>
      <c r="H245" s="28">
        <f>D245*L242</f>
        <v>10</v>
      </c>
      <c r="I245" s="29">
        <f t="shared" si="8"/>
        <v>316</v>
      </c>
      <c r="J245" s="2"/>
      <c r="K245" s="2"/>
      <c r="L245" s="2"/>
    </row>
    <row r="246" spans="1:12" ht="15.75" x14ac:dyDescent="0.25">
      <c r="A246" s="363" t="s">
        <v>35</v>
      </c>
      <c r="B246" s="364"/>
      <c r="C246" s="365"/>
      <c r="D246" s="24">
        <v>2.5</v>
      </c>
      <c r="E246" s="25" t="s">
        <v>12</v>
      </c>
      <c r="F246" s="26">
        <v>11</v>
      </c>
      <c r="G246" s="27">
        <f t="shared" si="7"/>
        <v>27.5</v>
      </c>
      <c r="H246" s="28">
        <f>D246*L242</f>
        <v>2.5</v>
      </c>
      <c r="I246" s="29">
        <f t="shared" si="8"/>
        <v>27.5</v>
      </c>
      <c r="J246" s="2"/>
      <c r="K246" s="2"/>
      <c r="L246" s="2"/>
    </row>
    <row r="247" spans="1:12" ht="15.75" x14ac:dyDescent="0.25">
      <c r="A247" s="363" t="s">
        <v>36</v>
      </c>
      <c r="B247" s="364"/>
      <c r="C247" s="365"/>
      <c r="D247" s="24">
        <v>100</v>
      </c>
      <c r="E247" s="25" t="s">
        <v>12</v>
      </c>
      <c r="F247" s="26">
        <v>23.9</v>
      </c>
      <c r="G247" s="27">
        <f t="shared" si="7"/>
        <v>2390</v>
      </c>
      <c r="H247" s="28">
        <f>D247*L242</f>
        <v>100</v>
      </c>
      <c r="I247" s="29">
        <f t="shared" si="8"/>
        <v>2390</v>
      </c>
      <c r="J247" s="2"/>
      <c r="K247" s="2"/>
      <c r="L247" s="2"/>
    </row>
    <row r="248" spans="1:12" ht="16.5" thickBot="1" x14ac:dyDescent="0.3">
      <c r="A248" s="394"/>
      <c r="B248" s="364"/>
      <c r="C248" s="365"/>
      <c r="D248" s="35"/>
      <c r="E248" s="36"/>
      <c r="F248" s="37"/>
      <c r="G248" s="27">
        <f t="shared" si="7"/>
        <v>0</v>
      </c>
      <c r="H248" s="28">
        <f>D248*L242</f>
        <v>0</v>
      </c>
      <c r="I248" s="29">
        <f t="shared" si="8"/>
        <v>0</v>
      </c>
      <c r="J248" s="2"/>
      <c r="K248" s="2"/>
      <c r="L248" s="2"/>
    </row>
    <row r="249" spans="1:12" ht="15.75" x14ac:dyDescent="0.25">
      <c r="A249" s="50" t="s">
        <v>16</v>
      </c>
      <c r="B249" s="51"/>
      <c r="C249" s="51"/>
      <c r="D249" s="52"/>
      <c r="E249" s="52"/>
      <c r="F249" s="53"/>
      <c r="G249" s="20">
        <f>SUM(G242:G248)</f>
        <v>4408.3</v>
      </c>
      <c r="H249" s="2"/>
      <c r="I249" s="2"/>
      <c r="J249" s="2"/>
      <c r="K249" s="2"/>
      <c r="L249" s="2"/>
    </row>
    <row r="250" spans="1:12" ht="15.75" x14ac:dyDescent="0.25">
      <c r="A250" s="54" t="s">
        <v>17</v>
      </c>
      <c r="B250" s="55"/>
      <c r="C250" s="55"/>
      <c r="D250" s="56"/>
      <c r="E250" s="56"/>
      <c r="F250" s="57"/>
      <c r="G250" s="29">
        <f>G249*0.1</f>
        <v>440.83000000000004</v>
      </c>
      <c r="H250" s="2"/>
      <c r="I250" s="2"/>
      <c r="J250" s="2"/>
      <c r="K250" s="2"/>
      <c r="L250" s="2"/>
    </row>
    <row r="251" spans="1:12" ht="16.5" thickBot="1" x14ac:dyDescent="0.3">
      <c r="A251" s="54" t="s">
        <v>18</v>
      </c>
      <c r="B251" s="55"/>
      <c r="C251" s="55"/>
      <c r="D251" s="56"/>
      <c r="E251" s="56"/>
      <c r="F251" s="58"/>
      <c r="G251" s="29">
        <f>SUM(G249:G250)</f>
        <v>4849.13</v>
      </c>
      <c r="H251" s="2"/>
      <c r="I251" s="2"/>
      <c r="J251" s="2"/>
      <c r="K251" s="2"/>
      <c r="L251" s="2"/>
    </row>
    <row r="252" spans="1:12" ht="15.75" x14ac:dyDescent="0.25">
      <c r="A252" s="59" t="s">
        <v>19</v>
      </c>
      <c r="B252" s="33"/>
      <c r="C252" s="33"/>
      <c r="D252" s="60"/>
      <c r="E252" s="60"/>
      <c r="F252" s="61">
        <v>1</v>
      </c>
      <c r="G252" s="27">
        <f>G251/F252</f>
        <v>4849.13</v>
      </c>
      <c r="H252" s="2"/>
      <c r="I252" s="2"/>
      <c r="J252" s="2"/>
      <c r="K252" s="2"/>
      <c r="L252" s="2"/>
    </row>
    <row r="253" spans="1:12" ht="15.75" x14ac:dyDescent="0.25">
      <c r="A253" s="382" t="s">
        <v>20</v>
      </c>
      <c r="B253" s="364"/>
      <c r="C253" s="364"/>
      <c r="D253" s="364"/>
      <c r="E253" s="364"/>
      <c r="F253" s="365"/>
      <c r="G253" s="62">
        <f>G252/G254</f>
        <v>0.53879222222222223</v>
      </c>
      <c r="H253" s="2"/>
      <c r="I253" s="2"/>
      <c r="J253" s="2"/>
      <c r="K253" s="2"/>
      <c r="L253" s="2"/>
    </row>
    <row r="254" spans="1:12" ht="15.75" x14ac:dyDescent="0.25">
      <c r="A254" s="382" t="s">
        <v>21</v>
      </c>
      <c r="B254" s="364"/>
      <c r="C254" s="364"/>
      <c r="D254" s="364"/>
      <c r="E254" s="364"/>
      <c r="F254" s="365"/>
      <c r="G254" s="29">
        <v>9000</v>
      </c>
      <c r="H254" s="2"/>
      <c r="I254" s="2"/>
      <c r="J254" s="2"/>
      <c r="K254" s="2"/>
      <c r="L254" s="2"/>
    </row>
    <row r="255" spans="1:12" ht="15.75" x14ac:dyDescent="0.25">
      <c r="A255" s="382" t="s">
        <v>22</v>
      </c>
      <c r="B255" s="364"/>
      <c r="C255" s="364"/>
      <c r="D255" s="364"/>
      <c r="E255" s="364"/>
      <c r="F255" s="365"/>
      <c r="G255" s="29"/>
      <c r="H255" s="2"/>
      <c r="I255" s="2"/>
      <c r="J255" s="2"/>
      <c r="K255" s="2"/>
      <c r="L255" s="2"/>
    </row>
    <row r="256" spans="1:12" ht="15.75" x14ac:dyDescent="0.25">
      <c r="A256" s="382" t="s">
        <v>23</v>
      </c>
      <c r="B256" s="364"/>
      <c r="C256" s="364"/>
      <c r="D256" s="364"/>
      <c r="E256" s="364"/>
      <c r="F256" s="365"/>
      <c r="G256" s="29">
        <f>G255+G254</f>
        <v>9000</v>
      </c>
      <c r="H256" s="2"/>
      <c r="I256" s="2"/>
      <c r="J256" s="2"/>
      <c r="K256" s="2"/>
      <c r="L256" s="2"/>
    </row>
    <row r="257" spans="1:12" ht="15.75" x14ac:dyDescent="0.25">
      <c r="A257" s="382" t="s">
        <v>24</v>
      </c>
      <c r="B257" s="364"/>
      <c r="C257" s="364"/>
      <c r="D257" s="364"/>
      <c r="E257" s="364"/>
      <c r="F257" s="365"/>
      <c r="G257" s="29">
        <f>G256</f>
        <v>9000</v>
      </c>
      <c r="H257" s="2"/>
      <c r="I257" s="2"/>
      <c r="J257" s="2"/>
      <c r="K257" s="2"/>
      <c r="L257" s="2"/>
    </row>
    <row r="258" spans="1:12" ht="16.5" thickBot="1" x14ac:dyDescent="0.3">
      <c r="A258" s="383" t="s">
        <v>25</v>
      </c>
      <c r="B258" s="384"/>
      <c r="C258" s="384"/>
      <c r="D258" s="384"/>
      <c r="E258" s="384"/>
      <c r="F258" s="385"/>
      <c r="G258" s="63">
        <f>(G252+G255)/G257</f>
        <v>0.53879222222222223</v>
      </c>
      <c r="H258" s="2"/>
      <c r="I258" s="2"/>
      <c r="J258" s="2"/>
      <c r="K258" s="2"/>
      <c r="L258" s="2"/>
    </row>
    <row r="259" spans="1:12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5.7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5.7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5.7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5.7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5.7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5.7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5.7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5.7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5.7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5.7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5.7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5.7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5.7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5.7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5.7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5.7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5.7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5.7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5.7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5.7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5.7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5.7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5.7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5.7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5.7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5.7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5.7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5.7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5.7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5.7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5.7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5.7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5.7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5.7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5.7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5.7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5.7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5.7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5.7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5.7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5.7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5.7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5.7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5.7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5.7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5.7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5.7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5.7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5.7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5.7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5.7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5.7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5.7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5.7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5.7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5.7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5.7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5.7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5.7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5.7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5.7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5.7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5.7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5.7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5.7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5.7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5.7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5.7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5.7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5.7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5.7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5.7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5.7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5.7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5.7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5.7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5.7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5.7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5.7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5.7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5.7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5.7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5.7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5.7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5.7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5.7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5.7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5.7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5.7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5.7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5.7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5.7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5.7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5.7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5.7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5.7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5.7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5.7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5.7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5.7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5.7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5.7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5.7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5.7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5.7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5.7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5.7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5.7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5.7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5.7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5.7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5.7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5.7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5.7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5.7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5.7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5.7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5.7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5.7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5.7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5.7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5.7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5.7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5.7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5.7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5.7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5.7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5.7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5.7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5.7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5.7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5.7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5.7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5.7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5.7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5.7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5.7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5.7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5.7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5.7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5.7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5.7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5.7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5.7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5.7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5.7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5.7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5.7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5.7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5.7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5.7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5.7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5.7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5.7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5.7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5.7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5.7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5.7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5.7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5.7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5.7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5.7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5.7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5.7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5.7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5.7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5.7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5.7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5.7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5.7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5.7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5.7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5.7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5.7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5.7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5.7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5.7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5.7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5.7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5.7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5.7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5.7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5.7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5.7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5.7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5.7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5.7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5.7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5.7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5.7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5.7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5.7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5.7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5.7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5.7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5.7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5.7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5.7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5.7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5.7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5.7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5.7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5.7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5.7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5.7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5.7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5.7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5.7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5.7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5.7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5.7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5.7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5.7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5.7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5.7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5.7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5.7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5.7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5.7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5.7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5.7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5.7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5.7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5.7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5.7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5.7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5.7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5.7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5.7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5.7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5.7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5.7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5.7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5.7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5.7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5.7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5.7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5.7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5.7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5.7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5.7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5.7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5.7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5.7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5.7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5.7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5.7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5.7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5.7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5.7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5.7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5.7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5.7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5.7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5.7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5.7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5.7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5.7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5.7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5.7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5.7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5.7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5.7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5.7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5.7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5.7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5.7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5.7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5.7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5.7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5.7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5.7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5.7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5.7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5.7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5.7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5.7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5.7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5.7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5.7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5.7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5.7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5.7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5.7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5.7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5.7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5.7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5.7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5.7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5.7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5.7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5.7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5.7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5.7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5.7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5.7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</sheetData>
  <mergeCells count="190">
    <mergeCell ref="I239:K239"/>
    <mergeCell ref="F240:G240"/>
    <mergeCell ref="J241:L241"/>
    <mergeCell ref="A256:F256"/>
    <mergeCell ref="A257:F257"/>
    <mergeCell ref="J244:K244"/>
    <mergeCell ref="A244:C244"/>
    <mergeCell ref="A245:C245"/>
    <mergeCell ref="A246:C246"/>
    <mergeCell ref="A247:C247"/>
    <mergeCell ref="A248:C248"/>
    <mergeCell ref="A240:C240"/>
    <mergeCell ref="A243:C243"/>
    <mergeCell ref="A233:G233"/>
    <mergeCell ref="B236:G236"/>
    <mergeCell ref="A258:F258"/>
    <mergeCell ref="A253:F253"/>
    <mergeCell ref="A254:F254"/>
    <mergeCell ref="A255:F255"/>
    <mergeCell ref="A228:F228"/>
    <mergeCell ref="A229:F229"/>
    <mergeCell ref="A230:F230"/>
    <mergeCell ref="A231:F231"/>
    <mergeCell ref="A242:C242"/>
    <mergeCell ref="A219:C219"/>
    <mergeCell ref="A220:C220"/>
    <mergeCell ref="A221:C221"/>
    <mergeCell ref="A226:F226"/>
    <mergeCell ref="A227:F227"/>
    <mergeCell ref="J215:L215"/>
    <mergeCell ref="A216:C216"/>
    <mergeCell ref="A217:C217"/>
    <mergeCell ref="A218:C218"/>
    <mergeCell ref="J218:K218"/>
    <mergeCell ref="A205:F205"/>
    <mergeCell ref="A207:G207"/>
    <mergeCell ref="B210:G210"/>
    <mergeCell ref="I213:K213"/>
    <mergeCell ref="A214:C214"/>
    <mergeCell ref="F214:G214"/>
    <mergeCell ref="A200:F200"/>
    <mergeCell ref="A201:F201"/>
    <mergeCell ref="A202:F202"/>
    <mergeCell ref="A203:F203"/>
    <mergeCell ref="A204:F204"/>
    <mergeCell ref="A192:C192"/>
    <mergeCell ref="A193:C193"/>
    <mergeCell ref="J193:K193"/>
    <mergeCell ref="A194:C194"/>
    <mergeCell ref="A195:C195"/>
    <mergeCell ref="I188:K188"/>
    <mergeCell ref="A189:C189"/>
    <mergeCell ref="F189:G189"/>
    <mergeCell ref="J190:L190"/>
    <mergeCell ref="A191:C191"/>
    <mergeCell ref="I162:K162"/>
    <mergeCell ref="A163:C163"/>
    <mergeCell ref="F163:G163"/>
    <mergeCell ref="A182:G182"/>
    <mergeCell ref="B185:G185"/>
    <mergeCell ref="A179:F179"/>
    <mergeCell ref="A180:F180"/>
    <mergeCell ref="A175:F175"/>
    <mergeCell ref="A176:F176"/>
    <mergeCell ref="J164:L164"/>
    <mergeCell ref="A165:C165"/>
    <mergeCell ref="A166:C166"/>
    <mergeCell ref="A167:C167"/>
    <mergeCell ref="J167:K167"/>
    <mergeCell ref="A168:C168"/>
    <mergeCell ref="A169:C169"/>
    <mergeCell ref="A170:C170"/>
    <mergeCell ref="A155:F155"/>
    <mergeCell ref="A156:F156"/>
    <mergeCell ref="A157:F157"/>
    <mergeCell ref="A177:F177"/>
    <mergeCell ref="A178:F178"/>
    <mergeCell ref="B159:G159"/>
    <mergeCell ref="A146:C146"/>
    <mergeCell ref="A147:C147"/>
    <mergeCell ref="A152:F152"/>
    <mergeCell ref="A153:F153"/>
    <mergeCell ref="A154:F154"/>
    <mergeCell ref="J142:L142"/>
    <mergeCell ref="A143:C143"/>
    <mergeCell ref="A144:C144"/>
    <mergeCell ref="A145:C145"/>
    <mergeCell ref="J145:K145"/>
    <mergeCell ref="A134:G134"/>
    <mergeCell ref="B137:G137"/>
    <mergeCell ref="I140:K140"/>
    <mergeCell ref="A141:C141"/>
    <mergeCell ref="F141:G141"/>
    <mergeCell ref="A131:F131"/>
    <mergeCell ref="A132:F132"/>
    <mergeCell ref="A127:F127"/>
    <mergeCell ref="A128:F128"/>
    <mergeCell ref="J117:L117"/>
    <mergeCell ref="A118:C118"/>
    <mergeCell ref="A119:C119"/>
    <mergeCell ref="A120:C120"/>
    <mergeCell ref="J120:K120"/>
    <mergeCell ref="A121:C121"/>
    <mergeCell ref="A122:C122"/>
    <mergeCell ref="I88:K88"/>
    <mergeCell ref="A89:C89"/>
    <mergeCell ref="F89:G89"/>
    <mergeCell ref="A129:F129"/>
    <mergeCell ref="A130:F130"/>
    <mergeCell ref="A109:G109"/>
    <mergeCell ref="B112:G112"/>
    <mergeCell ref="I115:K115"/>
    <mergeCell ref="A116:C116"/>
    <mergeCell ref="F116:G116"/>
    <mergeCell ref="A106:F106"/>
    <mergeCell ref="A107:F107"/>
    <mergeCell ref="A102:F102"/>
    <mergeCell ref="A103:F103"/>
    <mergeCell ref="J90:L90"/>
    <mergeCell ref="A91:C91"/>
    <mergeCell ref="A92:C92"/>
    <mergeCell ref="A93:C93"/>
    <mergeCell ref="J93:K93"/>
    <mergeCell ref="A94:C94"/>
    <mergeCell ref="A95:C95"/>
    <mergeCell ref="A96:C96"/>
    <mergeCell ref="A97:C97"/>
    <mergeCell ref="A78:F78"/>
    <mergeCell ref="A79:F79"/>
    <mergeCell ref="A80:F80"/>
    <mergeCell ref="A104:F104"/>
    <mergeCell ref="A105:F105"/>
    <mergeCell ref="A82:G82"/>
    <mergeCell ref="B85:G85"/>
    <mergeCell ref="A69:C69"/>
    <mergeCell ref="A70:C70"/>
    <mergeCell ref="A75:F75"/>
    <mergeCell ref="A76:F76"/>
    <mergeCell ref="A77:F77"/>
    <mergeCell ref="J65:L65"/>
    <mergeCell ref="A66:C66"/>
    <mergeCell ref="A67:C67"/>
    <mergeCell ref="A68:C68"/>
    <mergeCell ref="J68:K68"/>
    <mergeCell ref="B37:G37"/>
    <mergeCell ref="B60:G60"/>
    <mergeCell ref="I63:K63"/>
    <mergeCell ref="A64:C64"/>
    <mergeCell ref="F64:G64"/>
    <mergeCell ref="I40:K40"/>
    <mergeCell ref="F41:G41"/>
    <mergeCell ref="J42:L42"/>
    <mergeCell ref="A43:C43"/>
    <mergeCell ref="A44:C44"/>
    <mergeCell ref="A41:C41"/>
    <mergeCell ref="A45:C45"/>
    <mergeCell ref="J45:K45"/>
    <mergeCell ref="A46:C46"/>
    <mergeCell ref="A47:C47"/>
    <mergeCell ref="A52:F52"/>
    <mergeCell ref="A53:F53"/>
    <mergeCell ref="A54:F54"/>
    <mergeCell ref="A55:F55"/>
    <mergeCell ref="A56:F56"/>
    <mergeCell ref="A57:F57"/>
    <mergeCell ref="A29:F29"/>
    <mergeCell ref="A30:F30"/>
    <mergeCell ref="A31:F31"/>
    <mergeCell ref="A32:F32"/>
    <mergeCell ref="A22:C22"/>
    <mergeCell ref="A27:F27"/>
    <mergeCell ref="A28:F28"/>
    <mergeCell ref="A34:G34"/>
    <mergeCell ref="A20:C20"/>
    <mergeCell ref="A21:C21"/>
    <mergeCell ref="A1:G1"/>
    <mergeCell ref="A4:G4"/>
    <mergeCell ref="B7:G7"/>
    <mergeCell ref="I10:K10"/>
    <mergeCell ref="A11:C11"/>
    <mergeCell ref="F11:G11"/>
    <mergeCell ref="J12:L12"/>
    <mergeCell ref="A13:C13"/>
    <mergeCell ref="A14:C14"/>
    <mergeCell ref="A15:C15"/>
    <mergeCell ref="J15:K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00A4-BCA0-469E-ADA8-8BF75B58FAA2}">
  <dimension ref="B2:H14"/>
  <sheetViews>
    <sheetView workbookViewId="0">
      <selection activeCell="C22" sqref="C22"/>
    </sheetView>
  </sheetViews>
  <sheetFormatPr baseColWidth="10" defaultRowHeight="12.75" x14ac:dyDescent="0.2"/>
  <cols>
    <col min="2" max="2" width="17.85546875" bestFit="1" customWidth="1"/>
    <col min="3" max="3" width="14.42578125" style="90" bestFit="1" customWidth="1"/>
    <col min="5" max="5" width="20" bestFit="1" customWidth="1"/>
    <col min="6" max="6" width="12.85546875" style="90" bestFit="1" customWidth="1"/>
  </cols>
  <sheetData>
    <row r="2" spans="2:8" x14ac:dyDescent="0.2">
      <c r="B2" s="146" t="s">
        <v>371</v>
      </c>
      <c r="C2" s="147">
        <v>45799</v>
      </c>
      <c r="E2" s="146" t="s">
        <v>371</v>
      </c>
      <c r="F2" s="147">
        <v>45800</v>
      </c>
    </row>
    <row r="3" spans="2:8" x14ac:dyDescent="0.2">
      <c r="B3" t="s">
        <v>364</v>
      </c>
      <c r="C3" s="90">
        <v>198800</v>
      </c>
      <c r="E3" s="126" t="s">
        <v>387</v>
      </c>
      <c r="F3" s="90">
        <v>18360</v>
      </c>
      <c r="G3" s="126" t="s">
        <v>393</v>
      </c>
    </row>
    <row r="4" spans="2:8" x14ac:dyDescent="0.2">
      <c r="B4" t="s">
        <v>365</v>
      </c>
      <c r="C4" s="90">
        <v>910150</v>
      </c>
      <c r="E4" s="126" t="s">
        <v>388</v>
      </c>
      <c r="F4" s="90">
        <v>1600</v>
      </c>
      <c r="G4" s="126" t="s">
        <v>393</v>
      </c>
    </row>
    <row r="5" spans="2:8" x14ac:dyDescent="0.2">
      <c r="B5" t="s">
        <v>366</v>
      </c>
      <c r="C5" s="90">
        <v>723952</v>
      </c>
      <c r="E5" s="126" t="s">
        <v>389</v>
      </c>
      <c r="F5" s="90">
        <v>3500</v>
      </c>
      <c r="G5" s="126" t="s">
        <v>393</v>
      </c>
    </row>
    <row r="6" spans="2:8" x14ac:dyDescent="0.2">
      <c r="B6" t="s">
        <v>367</v>
      </c>
      <c r="C6" s="90">
        <v>422817</v>
      </c>
      <c r="E6" s="126" t="s">
        <v>390</v>
      </c>
      <c r="F6" s="90">
        <v>244530</v>
      </c>
    </row>
    <row r="7" spans="2:8" x14ac:dyDescent="0.2">
      <c r="B7" t="s">
        <v>368</v>
      </c>
      <c r="C7" s="90">
        <v>324328</v>
      </c>
      <c r="E7" s="126" t="s">
        <v>365</v>
      </c>
      <c r="F7" s="90">
        <v>350050</v>
      </c>
    </row>
    <row r="8" spans="2:8" x14ac:dyDescent="0.2">
      <c r="B8" t="s">
        <v>366</v>
      </c>
      <c r="C8" s="90">
        <v>289500</v>
      </c>
      <c r="E8" s="126" t="s">
        <v>391</v>
      </c>
      <c r="F8" s="90">
        <v>18000</v>
      </c>
      <c r="G8" s="126" t="s">
        <v>393</v>
      </c>
      <c r="H8" s="91">
        <f>F3+F4+F5+F8</f>
        <v>41460</v>
      </c>
    </row>
    <row r="9" spans="2:8" x14ac:dyDescent="0.2">
      <c r="B9" t="s">
        <v>369</v>
      </c>
      <c r="C9" s="90">
        <v>129000</v>
      </c>
      <c r="E9" s="126" t="s">
        <v>392</v>
      </c>
      <c r="F9" s="90">
        <v>751360</v>
      </c>
    </row>
    <row r="10" spans="2:8" x14ac:dyDescent="0.2">
      <c r="B10" t="s">
        <v>370</v>
      </c>
      <c r="C10" s="90">
        <v>121235</v>
      </c>
      <c r="E10" s="126" t="s">
        <v>394</v>
      </c>
      <c r="F10" s="90">
        <v>90000</v>
      </c>
    </row>
    <row r="11" spans="2:8" x14ac:dyDescent="0.2">
      <c r="B11" s="126" t="s">
        <v>287</v>
      </c>
      <c r="C11" s="90">
        <v>21150</v>
      </c>
      <c r="E11" s="126" t="s">
        <v>395</v>
      </c>
      <c r="F11" s="90">
        <v>195000</v>
      </c>
    </row>
    <row r="12" spans="2:8" x14ac:dyDescent="0.2">
      <c r="C12" s="90">
        <f>SUM(C3:C10)</f>
        <v>3119782</v>
      </c>
      <c r="F12" s="90">
        <f>SUM(F3:F11)</f>
        <v>1672400</v>
      </c>
    </row>
    <row r="14" spans="2:8" x14ac:dyDescent="0.2">
      <c r="B14" s="126" t="s">
        <v>372</v>
      </c>
      <c r="C14" s="90">
        <v>6919379</v>
      </c>
      <c r="E14" s="126" t="s">
        <v>372</v>
      </c>
      <c r="F14" s="90">
        <v>3365492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PLANTILLAS </vt:lpstr>
      <vt:lpstr>ENTREGABLES</vt:lpstr>
      <vt:lpstr>PRECIOS</vt:lpstr>
      <vt:lpstr>LISTADO  PRODUCTO</vt:lpstr>
      <vt:lpstr>CENAS DICIEMBRE </vt:lpstr>
      <vt:lpstr>CORTES </vt:lpstr>
      <vt:lpstr>TARDEO</vt:lpstr>
      <vt:lpstr>ARROCES</vt:lpstr>
      <vt:lpstr>ALMUERZOS Y CREMAS </vt:lpstr>
      <vt:lpstr>PLATOS</vt:lpstr>
      <vt:lpstr>PIZZAS</vt:lpstr>
      <vt:lpstr>SUB RESETAS</vt:lpstr>
      <vt:lpstr>ENTRADAS (2)</vt:lpstr>
      <vt:lpstr>ENTRADAS</vt:lpstr>
      <vt:lpstr>POSTRES</vt:lpstr>
      <vt:lpstr>PASTAS</vt:lpstr>
      <vt:lpstr>SALSA Y PASTA </vt:lpstr>
      <vt:lpstr>Propuesta Alm</vt:lpstr>
      <vt:lpstr>HAMB 2 X1</vt:lpstr>
      <vt:lpstr>CREMAS</vt:lpstr>
      <vt:lpstr>FICHAS TECNICAS </vt:lpstr>
      <vt:lpstr>PICADA MALAGANA</vt:lpstr>
      <vt:lpstr>ESPECIALES </vt:lpstr>
      <vt:lpstr>SUB RECETAS</vt:lpstr>
      <vt:lpstr>Compras 22 mayo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helena Lozano</dc:creator>
  <cp:lastModifiedBy>HP</cp:lastModifiedBy>
  <dcterms:created xsi:type="dcterms:W3CDTF">2024-10-02T20:16:11Z</dcterms:created>
  <dcterms:modified xsi:type="dcterms:W3CDTF">2026-02-07T19:23:26Z</dcterms:modified>
</cp:coreProperties>
</file>