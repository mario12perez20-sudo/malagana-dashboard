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F6BEED6-4CD9-403E-8AF5-AEF2DE1426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m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 s="1"/>
  <c r="M17" i="4" s="1"/>
  <c r="L17" i="4"/>
  <c r="F18" i="4"/>
  <c r="J18" i="4"/>
  <c r="K18" i="4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F23" i="4"/>
  <c r="J23" i="4"/>
  <c r="K23" i="4" s="1"/>
  <c r="M23" i="4" s="1"/>
  <c r="L23" i="4"/>
  <c r="F24" i="4"/>
  <c r="J24" i="4"/>
  <c r="K24" i="4" s="1"/>
  <c r="M24" i="4" s="1"/>
  <c r="L24" i="4"/>
  <c r="F25" i="4"/>
  <c r="J25" i="4"/>
  <c r="K25" i="4" s="1"/>
  <c r="M25" i="4" s="1"/>
  <c r="L25" i="4"/>
  <c r="L13" i="4"/>
  <c r="J13" i="4"/>
  <c r="K13" i="4" s="1"/>
  <c r="M13" i="4" s="1"/>
  <c r="F13" i="4"/>
  <c r="F12" i="4"/>
  <c r="J12" i="4"/>
  <c r="K12" i="4"/>
  <c r="M12" i="4" s="1"/>
  <c r="L12" i="4"/>
  <c r="C26" i="4"/>
  <c r="H8" i="4" l="1"/>
  <c r="K55" i="4"/>
  <c r="K53" i="4"/>
  <c r="K50" i="4"/>
  <c r="H26" i="4"/>
  <c r="I8" i="4"/>
  <c r="E8" i="4" s="1"/>
  <c r="D26" i="4" s="1"/>
  <c r="M26" i="4" l="1"/>
  <c r="F31" i="4" s="1"/>
  <c r="D32" i="4" l="1"/>
  <c r="F32" i="4"/>
  <c r="H31" i="4"/>
  <c r="H32" i="4" l="1"/>
  <c r="D38" i="4" s="1"/>
  <c r="F38" i="4" s="1"/>
  <c r="H38" i="4" s="1"/>
  <c r="D39" i="4" s="1"/>
  <c r="F39" i="4" s="1"/>
  <c r="H39" i="4" s="1"/>
  <c r="D40" i="4" s="1"/>
  <c r="F40" i="4" l="1"/>
  <c r="H40" i="4" s="1"/>
  <c r="D41" i="4" s="1"/>
  <c r="F41" i="4" l="1"/>
  <c r="H41" i="4" s="1"/>
  <c r="H42" i="4" s="1"/>
  <c r="D45" i="4" s="1"/>
  <c r="F45" i="4" l="1"/>
  <c r="H45" i="4" s="1"/>
  <c r="H46" i="4" l="1"/>
  <c r="D47" i="4"/>
  <c r="F47" i="4" l="1"/>
  <c r="H47" i="4" s="1"/>
  <c r="H48" i="4" s="1"/>
  <c r="M50" i="4" l="1"/>
  <c r="M53" i="4" s="1"/>
  <c r="M55" i="4" s="1"/>
</calcChain>
</file>

<file path=xl/sharedStrings.xml><?xml version="1.0" encoding="utf-8"?>
<sst xmlns="http://schemas.openxmlformats.org/spreadsheetml/2006/main" count="90" uniqueCount="71">
  <si>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</si>
  <si>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</si>
  <si>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</si>
  <si>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</si>
  <si>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</si>
  <si>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</si>
  <si>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</si>
  <si>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</si>
  <si>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</si>
  <si>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</si>
  <si>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</si>
  <si>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</si>
  <si>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</si>
  <si>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</si>
  <si>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</si>
  <si>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</si>
  <si>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</si>
  <si>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</si>
  <si>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</si>
  <si>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</si>
  <si>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</si>
  <si>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</si>
  <si>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</si>
  <si>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</si>
  <si>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</si>
  <si>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</si>
  <si>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</si>
  <si>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</si>
  <si>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</si>
  <si>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</si>
  <si>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</si>
  <si>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</si>
  <si>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</si>
  <si>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</si>
  <si>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</si>
  <si>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</si>
  <si>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</si>
  <si>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</si>
  <si>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</si>
  <si>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</si>
  <si>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</si>
  <si>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</si>
  <si>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</si>
  <si>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</si>
  <si>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</si>
  <si>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</si>
  <si>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</si>
  <si>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</si>
  <si>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</si>
  <si>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</si>
  <si>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</si>
  <si>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</si>
  <si>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lomoi ensalsa de uva isabela </t>
  </si>
  <si>
    <t xml:space="preserve">tocineta </t>
  </si>
  <si>
    <t>miel de caña</t>
  </si>
  <si>
    <t xml:space="preserve">paprika </t>
  </si>
  <si>
    <t xml:space="preserve">sal </t>
  </si>
  <si>
    <t>pimienta</t>
  </si>
  <si>
    <t xml:space="preserve">reseta malagana </t>
  </si>
  <si>
    <t xml:space="preserve">hamburguesa casique </t>
  </si>
  <si>
    <t xml:space="preserve">caliente </t>
  </si>
  <si>
    <t xml:space="preserve">palmira valle </t>
  </si>
  <si>
    <t>pan ajonjoli</t>
  </si>
  <si>
    <t xml:space="preserve">carne angus </t>
  </si>
  <si>
    <t xml:space="preserve">queso piladelphia </t>
  </si>
  <si>
    <t>lechuga</t>
  </si>
  <si>
    <t>tomate</t>
  </si>
  <si>
    <t>salsa alioli</t>
  </si>
  <si>
    <t xml:space="preserve">aros cebolla </t>
  </si>
  <si>
    <t xml:space="preserve">papas a la francesa  </t>
  </si>
  <si>
    <t xml:space="preserve">palo brocheta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</si>
</sst>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9"/>
  <sheetViews>
    <sheetView tabSelected="1" topLeftCell="A6" workbookViewId="0">
      <selection activeCell="C45" sqref="C45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21.7109375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52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58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59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61</v>
      </c>
      <c r="E7" s="34"/>
      <c r="F7" s="40"/>
      <c r="G7" s="41" t="s">
        <v>9</v>
      </c>
      <c r="H7" s="45">
        <v>350</v>
      </c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>
        <v>350</v>
      </c>
      <c r="E8" s="50" t="str">
        <f>I8</f>
        <v>grs.</v>
      </c>
      <c r="F8" s="40"/>
      <c r="G8" s="41" t="s">
        <v>12</v>
      </c>
      <c r="H8" s="51">
        <f>H7/H6</f>
        <v>350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60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65" t="s">
        <v>18</v>
      </c>
      <c r="F11" s="166"/>
      <c r="G11" s="67" t="s">
        <v>19</v>
      </c>
      <c r="H11" s="70" t="s">
        <v>23</v>
      </c>
      <c r="I11" s="68" t="s">
        <v>20</v>
      </c>
      <c r="J11" s="69" t="s">
        <v>21</v>
      </c>
      <c r="K11" s="167" t="s">
        <v>22</v>
      </c>
      <c r="L11" s="166"/>
      <c r="M11" s="71" t="s">
        <v>24</v>
      </c>
    </row>
    <row r="12" spans="1:13" ht="14.25" customHeight="1" x14ac:dyDescent="0.25">
      <c r="A12" s="168"/>
      <c r="B12" s="72" t="s">
        <v>62</v>
      </c>
      <c r="C12" s="73">
        <v>1</v>
      </c>
      <c r="D12" s="74" t="s">
        <v>7</v>
      </c>
      <c r="E12" s="75">
        <v>8</v>
      </c>
      <c r="F12" s="75" t="str">
        <f t="shared" ref="F12:F25" si="0">$D12</f>
        <v>und.</v>
      </c>
      <c r="G12" s="76">
        <v>1</v>
      </c>
      <c r="H12" s="81">
        <v>8600</v>
      </c>
      <c r="I12" s="77">
        <v>0</v>
      </c>
      <c r="J12" s="78">
        <f t="shared" ref="J12" si="1">G12-I12</f>
        <v>1</v>
      </c>
      <c r="K12" s="79">
        <f t="shared" ref="K12" si="2">C12*G12/J12</f>
        <v>1</v>
      </c>
      <c r="L12" s="80" t="str">
        <f t="shared" ref="L12:L25" si="3">$D12</f>
        <v>und.</v>
      </c>
      <c r="M12" s="160">
        <f>K12*H12/E12</f>
        <v>1075</v>
      </c>
    </row>
    <row r="13" spans="1:13" ht="15.75" customHeight="1" x14ac:dyDescent="0.25">
      <c r="A13" s="169"/>
      <c r="B13" s="72" t="s">
        <v>63</v>
      </c>
      <c r="C13" s="73">
        <v>150</v>
      </c>
      <c r="D13" s="74" t="s">
        <v>10</v>
      </c>
      <c r="E13" s="75">
        <v>1000</v>
      </c>
      <c r="F13" s="75" t="str">
        <f t="shared" si="0"/>
        <v>grs.</v>
      </c>
      <c r="G13" s="76">
        <v>1</v>
      </c>
      <c r="H13" s="81">
        <v>24900</v>
      </c>
      <c r="I13" s="77">
        <v>0.15</v>
      </c>
      <c r="J13" s="78">
        <f t="shared" ref="J13" si="4">G13-I13</f>
        <v>0.85</v>
      </c>
      <c r="K13" s="79">
        <f t="shared" ref="K13" si="5">C13*G13/J13</f>
        <v>176.47058823529412</v>
      </c>
      <c r="L13" s="80" t="str">
        <f t="shared" si="3"/>
        <v>grs.</v>
      </c>
      <c r="M13" s="160">
        <f>K13*H13/E13</f>
        <v>4394.1176470588234</v>
      </c>
    </row>
    <row r="14" spans="1:13" x14ac:dyDescent="0.25">
      <c r="A14" s="169"/>
      <c r="B14" s="72" t="s">
        <v>64</v>
      </c>
      <c r="C14" s="73">
        <v>50</v>
      </c>
      <c r="D14" s="74" t="s">
        <v>10</v>
      </c>
      <c r="E14" s="75">
        <v>1500</v>
      </c>
      <c r="F14" s="75" t="str">
        <f t="shared" si="0"/>
        <v>grs.</v>
      </c>
      <c r="G14" s="76">
        <v>1</v>
      </c>
      <c r="H14" s="81">
        <v>59200</v>
      </c>
      <c r="I14" s="77">
        <v>0</v>
      </c>
      <c r="J14" s="78">
        <f t="shared" ref="J14:J25" si="6">G14-I14</f>
        <v>1</v>
      </c>
      <c r="K14" s="79">
        <f t="shared" ref="K14:K25" si="7">C14*G14/J14</f>
        <v>50</v>
      </c>
      <c r="L14" s="80" t="str">
        <f t="shared" si="3"/>
        <v>grs.</v>
      </c>
      <c r="M14" s="160">
        <f t="shared" ref="M14:M25" si="8">K14*H14/E14</f>
        <v>1973.3333333333333</v>
      </c>
    </row>
    <row r="15" spans="1:13" ht="15.75" customHeight="1" x14ac:dyDescent="0.25">
      <c r="A15" s="169"/>
      <c r="B15" s="72" t="s">
        <v>53</v>
      </c>
      <c r="C15" s="73">
        <v>35</v>
      </c>
      <c r="D15" s="74" t="s">
        <v>10</v>
      </c>
      <c r="E15" s="75">
        <v>1000</v>
      </c>
      <c r="F15" s="75" t="str">
        <f t="shared" si="0"/>
        <v>grs.</v>
      </c>
      <c r="G15" s="76">
        <v>1</v>
      </c>
      <c r="H15" s="81">
        <v>26400</v>
      </c>
      <c r="I15" s="77">
        <v>0</v>
      </c>
      <c r="J15" s="78">
        <f t="shared" si="6"/>
        <v>1</v>
      </c>
      <c r="K15" s="79">
        <f t="shared" si="7"/>
        <v>35</v>
      </c>
      <c r="L15" s="80" t="str">
        <f t="shared" si="3"/>
        <v>grs.</v>
      </c>
      <c r="M15" s="160">
        <f t="shared" si="8"/>
        <v>924</v>
      </c>
    </row>
    <row r="16" spans="1:13" ht="15.75" customHeight="1" x14ac:dyDescent="0.25">
      <c r="A16" s="169"/>
      <c r="B16" s="72" t="s">
        <v>65</v>
      </c>
      <c r="C16" s="73">
        <v>20</v>
      </c>
      <c r="D16" s="74" t="s">
        <v>10</v>
      </c>
      <c r="E16" s="75">
        <v>160</v>
      </c>
      <c r="F16" s="75" t="str">
        <f t="shared" si="0"/>
        <v>grs.</v>
      </c>
      <c r="G16" s="76">
        <v>1</v>
      </c>
      <c r="H16" s="81">
        <v>2677</v>
      </c>
      <c r="I16" s="77">
        <v>0</v>
      </c>
      <c r="J16" s="78">
        <f t="shared" si="6"/>
        <v>1</v>
      </c>
      <c r="K16" s="79">
        <f t="shared" si="7"/>
        <v>20</v>
      </c>
      <c r="L16" s="80" t="str">
        <f t="shared" si="3"/>
        <v>grs.</v>
      </c>
      <c r="M16" s="160">
        <f t="shared" si="8"/>
        <v>334.625</v>
      </c>
    </row>
    <row r="17" spans="1:13" ht="15.75" customHeight="1" x14ac:dyDescent="0.25">
      <c r="A17" s="169"/>
      <c r="B17" s="72" t="s">
        <v>66</v>
      </c>
      <c r="C17" s="73">
        <v>20</v>
      </c>
      <c r="D17" s="74" t="s">
        <v>10</v>
      </c>
      <c r="E17" s="75">
        <v>1000</v>
      </c>
      <c r="F17" s="75" t="str">
        <f t="shared" si="0"/>
        <v>grs.</v>
      </c>
      <c r="G17" s="76">
        <v>1</v>
      </c>
      <c r="H17" s="81">
        <v>3000</v>
      </c>
      <c r="I17" s="77">
        <v>0</v>
      </c>
      <c r="J17" s="78">
        <f t="shared" si="6"/>
        <v>1</v>
      </c>
      <c r="K17" s="79">
        <f t="shared" si="7"/>
        <v>20</v>
      </c>
      <c r="L17" s="80" t="str">
        <f t="shared" si="3"/>
        <v>grs.</v>
      </c>
      <c r="M17" s="160">
        <f t="shared" si="8"/>
        <v>60</v>
      </c>
    </row>
    <row r="18" spans="1:13" ht="15.75" customHeight="1" x14ac:dyDescent="0.25">
      <c r="A18" s="169"/>
      <c r="B18" s="72" t="s">
        <v>54</v>
      </c>
      <c r="C18" s="73">
        <v>20</v>
      </c>
      <c r="D18" s="74" t="s">
        <v>50</v>
      </c>
      <c r="E18" s="75">
        <v>1490</v>
      </c>
      <c r="F18" s="75" t="str">
        <f t="shared" si="0"/>
        <v>ml.</v>
      </c>
      <c r="G18" s="76">
        <v>1</v>
      </c>
      <c r="H18" s="81">
        <v>9553</v>
      </c>
      <c r="I18" s="77">
        <v>0</v>
      </c>
      <c r="J18" s="78">
        <f t="shared" si="6"/>
        <v>1</v>
      </c>
      <c r="K18" s="79">
        <f t="shared" si="7"/>
        <v>20</v>
      </c>
      <c r="L18" s="80" t="str">
        <f t="shared" si="3"/>
        <v>ml.</v>
      </c>
      <c r="M18" s="160">
        <f t="shared" si="8"/>
        <v>128.2281879194631</v>
      </c>
    </row>
    <row r="19" spans="1:13" ht="15.75" customHeight="1" x14ac:dyDescent="0.25">
      <c r="A19" s="169"/>
      <c r="B19" s="72" t="s">
        <v>67</v>
      </c>
      <c r="C19" s="73">
        <v>50</v>
      </c>
      <c r="D19" s="74" t="s">
        <v>50</v>
      </c>
      <c r="E19" s="75">
        <v>500</v>
      </c>
      <c r="F19" s="75" t="str">
        <f t="shared" si="0"/>
        <v>ml.</v>
      </c>
      <c r="G19" s="76">
        <v>1</v>
      </c>
      <c r="H19" s="81">
        <v>15000</v>
      </c>
      <c r="I19" s="77">
        <v>0</v>
      </c>
      <c r="J19" s="78">
        <f t="shared" si="6"/>
        <v>1</v>
      </c>
      <c r="K19" s="79">
        <f t="shared" si="7"/>
        <v>50</v>
      </c>
      <c r="L19" s="80" t="str">
        <f t="shared" si="3"/>
        <v>ml.</v>
      </c>
      <c r="M19" s="160">
        <f t="shared" si="8"/>
        <v>1500</v>
      </c>
    </row>
    <row r="20" spans="1:13" ht="15.75" customHeight="1" x14ac:dyDescent="0.25">
      <c r="A20" s="169"/>
      <c r="B20" s="72" t="s">
        <v>68</v>
      </c>
      <c r="C20" s="73">
        <v>2</v>
      </c>
      <c r="D20" s="74" t="s">
        <v>7</v>
      </c>
      <c r="E20" s="75">
        <v>63</v>
      </c>
      <c r="F20" s="75" t="str">
        <f t="shared" si="0"/>
        <v>und.</v>
      </c>
      <c r="G20" s="76">
        <v>1</v>
      </c>
      <c r="H20" s="81">
        <v>17300</v>
      </c>
      <c r="I20" s="77">
        <v>0</v>
      </c>
      <c r="J20" s="78">
        <f t="shared" si="6"/>
        <v>1</v>
      </c>
      <c r="K20" s="79">
        <f t="shared" si="7"/>
        <v>2</v>
      </c>
      <c r="L20" s="80" t="str">
        <f t="shared" si="3"/>
        <v>und.</v>
      </c>
      <c r="M20" s="160">
        <f t="shared" si="8"/>
        <v>549.20634920634916</v>
      </c>
    </row>
    <row r="21" spans="1:13" ht="15.75" customHeight="1" x14ac:dyDescent="0.25">
      <c r="A21" s="169"/>
      <c r="B21" s="72" t="s">
        <v>69</v>
      </c>
      <c r="C21" s="73">
        <v>120</v>
      </c>
      <c r="D21" s="74" t="s">
        <v>10</v>
      </c>
      <c r="E21" s="75">
        <v>2500</v>
      </c>
      <c r="F21" s="75" t="str">
        <f t="shared" si="0"/>
        <v>grs.</v>
      </c>
      <c r="G21" s="76">
        <v>1</v>
      </c>
      <c r="H21" s="81">
        <v>18500</v>
      </c>
      <c r="I21" s="77">
        <v>0</v>
      </c>
      <c r="J21" s="78">
        <f t="shared" si="6"/>
        <v>1</v>
      </c>
      <c r="K21" s="79">
        <f t="shared" si="7"/>
        <v>120</v>
      </c>
      <c r="L21" s="80" t="str">
        <f t="shared" si="3"/>
        <v>grs.</v>
      </c>
      <c r="M21" s="160">
        <f t="shared" si="8"/>
        <v>888</v>
      </c>
    </row>
    <row r="22" spans="1:13" ht="15.75" customHeight="1" x14ac:dyDescent="0.25">
      <c r="A22" s="169"/>
      <c r="B22" s="72" t="s">
        <v>55</v>
      </c>
      <c r="C22" s="73">
        <v>5</v>
      </c>
      <c r="D22" s="74" t="s">
        <v>10</v>
      </c>
      <c r="E22" s="75">
        <v>500</v>
      </c>
      <c r="F22" s="75" t="str">
        <f t="shared" si="0"/>
        <v>grs.</v>
      </c>
      <c r="G22" s="76">
        <v>1</v>
      </c>
      <c r="H22" s="81">
        <v>20400</v>
      </c>
      <c r="I22" s="77">
        <v>0</v>
      </c>
      <c r="J22" s="78">
        <f t="shared" si="6"/>
        <v>1</v>
      </c>
      <c r="K22" s="79">
        <f t="shared" si="7"/>
        <v>5</v>
      </c>
      <c r="L22" s="80" t="str">
        <f t="shared" si="3"/>
        <v>grs.</v>
      </c>
      <c r="M22" s="160">
        <f t="shared" si="8"/>
        <v>204</v>
      </c>
    </row>
    <row r="23" spans="1:13" ht="15.75" customHeight="1" x14ac:dyDescent="0.25">
      <c r="A23" s="169"/>
      <c r="B23" s="72" t="s">
        <v>56</v>
      </c>
      <c r="C23" s="73">
        <v>5</v>
      </c>
      <c r="D23" s="74" t="s">
        <v>10</v>
      </c>
      <c r="E23" s="75">
        <v>1000</v>
      </c>
      <c r="F23" s="75" t="str">
        <f t="shared" si="0"/>
        <v>grs.</v>
      </c>
      <c r="G23" s="76">
        <v>1</v>
      </c>
      <c r="H23" s="81">
        <v>2800</v>
      </c>
      <c r="I23" s="77">
        <v>0</v>
      </c>
      <c r="J23" s="78">
        <f t="shared" si="6"/>
        <v>1</v>
      </c>
      <c r="K23" s="79">
        <f t="shared" si="7"/>
        <v>5</v>
      </c>
      <c r="L23" s="80" t="str">
        <f t="shared" si="3"/>
        <v>grs.</v>
      </c>
      <c r="M23" s="160">
        <f t="shared" si="8"/>
        <v>14</v>
      </c>
    </row>
    <row r="24" spans="1:13" ht="15.75" customHeight="1" x14ac:dyDescent="0.25">
      <c r="A24" s="169"/>
      <c r="B24" s="72" t="s">
        <v>57</v>
      </c>
      <c r="C24" s="73">
        <v>5</v>
      </c>
      <c r="D24" s="74" t="s">
        <v>10</v>
      </c>
      <c r="E24" s="75">
        <v>453</v>
      </c>
      <c r="F24" s="75" t="str">
        <f t="shared" si="0"/>
        <v>grs.</v>
      </c>
      <c r="G24" s="76">
        <v>1</v>
      </c>
      <c r="H24" s="81">
        <v>57650</v>
      </c>
      <c r="I24" s="77">
        <v>0</v>
      </c>
      <c r="J24" s="78">
        <f t="shared" si="6"/>
        <v>1</v>
      </c>
      <c r="K24" s="79">
        <f t="shared" si="7"/>
        <v>5</v>
      </c>
      <c r="L24" s="80" t="str">
        <f t="shared" si="3"/>
        <v>grs.</v>
      </c>
      <c r="M24" s="160">
        <f t="shared" si="8"/>
        <v>636.31346578366447</v>
      </c>
    </row>
    <row r="25" spans="1:13" ht="15.75" customHeight="1" thickBot="1" x14ac:dyDescent="0.3">
      <c r="A25" s="169"/>
      <c r="B25" s="72" t="s">
        <v>70</v>
      </c>
      <c r="C25" s="73">
        <v>1</v>
      </c>
      <c r="D25" s="74" t="s">
        <v>7</v>
      </c>
      <c r="E25" s="75">
        <v>30</v>
      </c>
      <c r="F25" s="75" t="str">
        <f t="shared" si="0"/>
        <v>und.</v>
      </c>
      <c r="G25" s="76">
        <v>1</v>
      </c>
      <c r="H25" s="81">
        <v>4622</v>
      </c>
      <c r="I25" s="77">
        <v>0</v>
      </c>
      <c r="J25" s="78">
        <f t="shared" si="6"/>
        <v>1</v>
      </c>
      <c r="K25" s="79">
        <f t="shared" si="7"/>
        <v>1</v>
      </c>
      <c r="L25" s="80" t="str">
        <f t="shared" si="3"/>
        <v>und.</v>
      </c>
      <c r="M25" s="160">
        <f t="shared" si="8"/>
        <v>154.06666666666666</v>
      </c>
    </row>
    <row r="26" spans="1:13" ht="15.75" customHeight="1" thickTop="1" thickBot="1" x14ac:dyDescent="0.3">
      <c r="A26" s="82"/>
      <c r="B26" s="83" t="s">
        <v>25</v>
      </c>
      <c r="C26" s="84">
        <f>SUM(C12:C25)</f>
        <v>484</v>
      </c>
      <c r="D26" s="85" t="str">
        <f>E8</f>
        <v>grs.</v>
      </c>
      <c r="E26" s="86"/>
      <c r="F26" s="87"/>
      <c r="G26" s="88"/>
      <c r="H26" s="92">
        <f>SUM(H12:H25)</f>
        <v>270602</v>
      </c>
      <c r="I26" s="89"/>
      <c r="J26" s="83"/>
      <c r="K26" s="90" t="s">
        <v>25</v>
      </c>
      <c r="L26" s="91"/>
      <c r="M26" s="161">
        <f>SUM(M12:M25)</f>
        <v>12834.890649968302</v>
      </c>
    </row>
    <row r="27" spans="1:13" ht="15.75" customHeight="1" x14ac:dyDescent="0.25">
      <c r="A27" s="93"/>
      <c r="B27" s="94"/>
      <c r="C27" s="94"/>
      <c r="D27" s="94"/>
      <c r="E27" s="95"/>
      <c r="F27" s="95"/>
      <c r="G27" s="96"/>
      <c r="H27" s="97"/>
      <c r="I27" s="95"/>
      <c r="J27" s="94"/>
      <c r="K27" s="98"/>
      <c r="L27" s="98"/>
      <c r="M27" s="99"/>
    </row>
    <row r="28" spans="1:13" ht="15.75" customHeight="1" x14ac:dyDescent="0.25">
      <c r="A28" s="100"/>
      <c r="B28" s="101" t="s">
        <v>26</v>
      </c>
      <c r="C28" s="102"/>
      <c r="D28" s="95"/>
      <c r="E28" s="95"/>
      <c r="F28" s="95"/>
      <c r="G28" s="96"/>
      <c r="H28" s="103"/>
      <c r="I28" s="95"/>
      <c r="J28" s="95"/>
      <c r="K28" s="104"/>
      <c r="L28" s="104"/>
      <c r="M28" s="105"/>
    </row>
    <row r="29" spans="1:13" ht="15.75" customHeight="1" thickBot="1" x14ac:dyDescent="0.3">
      <c r="A29" s="93"/>
      <c r="B29" s="106"/>
      <c r="C29" s="106"/>
      <c r="D29" s="107"/>
      <c r="E29" s="107"/>
      <c r="F29" s="108"/>
      <c r="G29" s="108"/>
      <c r="H29" s="108"/>
      <c r="I29" s="109"/>
      <c r="J29" s="109"/>
      <c r="K29" s="110"/>
      <c r="L29" s="110"/>
      <c r="M29" s="110"/>
    </row>
    <row r="30" spans="1:13" ht="15.75" customHeight="1" thickBot="1" x14ac:dyDescent="0.3">
      <c r="A30" s="93"/>
      <c r="B30" s="106"/>
      <c r="C30" s="111"/>
      <c r="D30" s="170" t="s">
        <v>27</v>
      </c>
      <c r="E30" s="166"/>
      <c r="F30" s="171" t="s">
        <v>28</v>
      </c>
      <c r="G30" s="172"/>
      <c r="H30" s="145" t="s">
        <v>29</v>
      </c>
      <c r="I30" s="173"/>
      <c r="J30" s="174"/>
      <c r="K30" s="174"/>
      <c r="L30" s="174"/>
      <c r="M30" s="112"/>
    </row>
    <row r="31" spans="1:13" ht="15.75" customHeight="1" x14ac:dyDescent="0.25">
      <c r="A31" s="113"/>
      <c r="B31" s="114" t="s">
        <v>25</v>
      </c>
      <c r="C31" s="115" t="s">
        <v>30</v>
      </c>
      <c r="D31" s="175">
        <v>0</v>
      </c>
      <c r="E31" s="176"/>
      <c r="F31" s="177">
        <f>M26</f>
        <v>12834.890649968302</v>
      </c>
      <c r="G31" s="178"/>
      <c r="H31" s="146">
        <f t="shared" ref="H31:H32" si="9">D31+F31</f>
        <v>12834.890649968302</v>
      </c>
      <c r="I31" s="173"/>
      <c r="J31" s="174"/>
      <c r="K31" s="174"/>
      <c r="L31" s="174"/>
      <c r="M31" s="112"/>
    </row>
    <row r="32" spans="1:13" ht="15.75" customHeight="1" x14ac:dyDescent="0.2">
      <c r="A32" s="116"/>
      <c r="B32" s="117"/>
      <c r="C32" s="179">
        <v>0.4</v>
      </c>
      <c r="D32" s="181">
        <f>F31</f>
        <v>12834.890649968302</v>
      </c>
      <c r="E32" s="182"/>
      <c r="F32" s="187">
        <f>F31*C32</f>
        <v>5133.9562599873207</v>
      </c>
      <c r="G32" s="188"/>
      <c r="H32" s="191">
        <f t="shared" si="9"/>
        <v>17968.846909955624</v>
      </c>
      <c r="I32" s="173"/>
      <c r="J32" s="174"/>
      <c r="K32" s="174"/>
      <c r="L32" s="174"/>
      <c r="M32" s="112"/>
    </row>
    <row r="33" spans="1:13" ht="15.75" customHeight="1" x14ac:dyDescent="0.2">
      <c r="A33" s="116"/>
      <c r="B33" s="118"/>
      <c r="C33" s="169"/>
      <c r="D33" s="183"/>
      <c r="E33" s="184"/>
      <c r="F33" s="183"/>
      <c r="G33" s="189"/>
      <c r="H33" s="192"/>
      <c r="I33" s="173"/>
      <c r="J33" s="174"/>
      <c r="K33" s="174"/>
      <c r="L33" s="174"/>
      <c r="M33" s="112"/>
    </row>
    <row r="34" spans="1:13" ht="15.75" customHeight="1" x14ac:dyDescent="0.2">
      <c r="A34" s="116"/>
      <c r="B34" s="117"/>
      <c r="C34" s="169"/>
      <c r="D34" s="183"/>
      <c r="E34" s="184"/>
      <c r="F34" s="183"/>
      <c r="G34" s="189"/>
      <c r="H34" s="192"/>
      <c r="I34" s="173"/>
      <c r="J34" s="174"/>
      <c r="K34" s="174"/>
      <c r="L34" s="174"/>
      <c r="M34" s="112"/>
    </row>
    <row r="35" spans="1:13" ht="15.75" customHeight="1" x14ac:dyDescent="0.2">
      <c r="A35" s="116"/>
      <c r="B35" s="117" t="s">
        <v>49</v>
      </c>
      <c r="C35" s="169"/>
      <c r="D35" s="183"/>
      <c r="E35" s="184"/>
      <c r="F35" s="183"/>
      <c r="G35" s="189"/>
      <c r="H35" s="192"/>
      <c r="I35" s="173"/>
      <c r="J35" s="174"/>
      <c r="K35" s="174"/>
      <c r="L35" s="174"/>
      <c r="M35" s="112"/>
    </row>
    <row r="36" spans="1:13" ht="15.75" customHeight="1" x14ac:dyDescent="0.2">
      <c r="A36" s="116"/>
      <c r="B36" s="117"/>
      <c r="C36" s="169"/>
      <c r="D36" s="183"/>
      <c r="E36" s="184"/>
      <c r="F36" s="183"/>
      <c r="G36" s="189"/>
      <c r="H36" s="192"/>
      <c r="I36" s="173"/>
      <c r="J36" s="174"/>
      <c r="K36" s="174"/>
      <c r="L36" s="174"/>
      <c r="M36" s="112"/>
    </row>
    <row r="37" spans="1:13" ht="15.75" customHeight="1" x14ac:dyDescent="0.2">
      <c r="A37" s="116"/>
      <c r="B37" s="118"/>
      <c r="C37" s="180"/>
      <c r="D37" s="185"/>
      <c r="E37" s="186"/>
      <c r="F37" s="185"/>
      <c r="G37" s="190"/>
      <c r="H37" s="192"/>
      <c r="I37" s="173"/>
      <c r="J37" s="174"/>
      <c r="K37" s="174"/>
      <c r="L37" s="174"/>
      <c r="M37" s="112"/>
    </row>
    <row r="38" spans="1:13" ht="15.75" customHeight="1" x14ac:dyDescent="0.2">
      <c r="A38" s="116"/>
      <c r="B38" s="118" t="s">
        <v>32</v>
      </c>
      <c r="C38" s="119">
        <v>0.05</v>
      </c>
      <c r="D38" s="193">
        <f>H32</f>
        <v>17968.846909955624</v>
      </c>
      <c r="E38" s="176"/>
      <c r="F38" s="194">
        <f t="shared" ref="F38:F41" si="10">D38*C38</f>
        <v>898.44234549778128</v>
      </c>
      <c r="G38" s="178"/>
      <c r="H38" s="147">
        <f t="shared" ref="H38:H41" si="11">D38+F38</f>
        <v>18867.289255453405</v>
      </c>
      <c r="I38" s="173"/>
      <c r="J38" s="174"/>
      <c r="K38" s="174"/>
      <c r="L38" s="174"/>
      <c r="M38" s="112"/>
    </row>
    <row r="39" spans="1:13" ht="15.75" customHeight="1" x14ac:dyDescent="0.2">
      <c r="A39" s="116"/>
      <c r="B39" s="118" t="s">
        <v>48</v>
      </c>
      <c r="C39" s="120">
        <v>0.1</v>
      </c>
      <c r="D39" s="193">
        <f t="shared" ref="D39:D41" si="12">H38</f>
        <v>18867.289255453405</v>
      </c>
      <c r="E39" s="176"/>
      <c r="F39" s="194">
        <f t="shared" si="10"/>
        <v>1886.7289255453406</v>
      </c>
      <c r="G39" s="178"/>
      <c r="H39" s="147">
        <f t="shared" si="11"/>
        <v>20754.018180998744</v>
      </c>
      <c r="I39" s="173"/>
      <c r="J39" s="174"/>
      <c r="K39" s="174"/>
      <c r="L39" s="174"/>
      <c r="M39" s="112"/>
    </row>
    <row r="40" spans="1:13" ht="15.75" customHeight="1" x14ac:dyDescent="0.2">
      <c r="A40" s="116"/>
      <c r="B40" s="118" t="s">
        <v>31</v>
      </c>
      <c r="C40" s="121">
        <v>0</v>
      </c>
      <c r="D40" s="193">
        <f t="shared" si="12"/>
        <v>20754.018180998744</v>
      </c>
      <c r="E40" s="176"/>
      <c r="F40" s="194">
        <f t="shared" si="10"/>
        <v>0</v>
      </c>
      <c r="G40" s="178"/>
      <c r="H40" s="147">
        <f t="shared" si="11"/>
        <v>20754.018180998744</v>
      </c>
      <c r="I40" s="173"/>
      <c r="J40" s="174"/>
      <c r="K40" s="174"/>
      <c r="L40" s="174"/>
      <c r="M40" s="112"/>
    </row>
    <row r="41" spans="1:13" ht="15.75" customHeight="1" thickBot="1" x14ac:dyDescent="0.25">
      <c r="A41" s="116"/>
      <c r="B41" s="122" t="s">
        <v>33</v>
      </c>
      <c r="C41" s="123">
        <v>0.2</v>
      </c>
      <c r="D41" s="181">
        <f t="shared" si="12"/>
        <v>20754.018180998744</v>
      </c>
      <c r="E41" s="182"/>
      <c r="F41" s="194">
        <f t="shared" si="10"/>
        <v>4150.8036361997492</v>
      </c>
      <c r="G41" s="178"/>
      <c r="H41" s="147">
        <f t="shared" si="11"/>
        <v>24904.821817198492</v>
      </c>
      <c r="I41" s="173"/>
      <c r="J41" s="174"/>
      <c r="K41" s="174"/>
      <c r="L41" s="174"/>
      <c r="M41" s="112"/>
    </row>
    <row r="42" spans="1:13" ht="15.75" customHeight="1" thickTop="1" thickBot="1" x14ac:dyDescent="0.3">
      <c r="A42" s="100"/>
      <c r="B42" s="38"/>
      <c r="C42" s="38"/>
      <c r="D42" s="148"/>
      <c r="E42" s="149"/>
      <c r="F42" s="150"/>
      <c r="G42" s="151" t="s">
        <v>34</v>
      </c>
      <c r="H42" s="152">
        <f>H41</f>
        <v>24904.821817198492</v>
      </c>
      <c r="I42" s="173"/>
      <c r="J42" s="174"/>
      <c r="K42" s="174"/>
      <c r="L42" s="174"/>
      <c r="M42" s="112"/>
    </row>
    <row r="43" spans="1:13" ht="15.75" customHeight="1" thickBot="1" x14ac:dyDescent="0.3">
      <c r="A43" s="100"/>
      <c r="B43" s="125"/>
      <c r="C43" s="96"/>
      <c r="D43" s="153"/>
      <c r="E43" s="154"/>
      <c r="F43" s="153"/>
      <c r="G43" s="155"/>
      <c r="H43" s="156"/>
      <c r="I43" s="173"/>
      <c r="J43" s="174"/>
      <c r="K43" s="174"/>
      <c r="L43" s="174"/>
      <c r="M43" s="112"/>
    </row>
    <row r="44" spans="1:13" ht="15.75" customHeight="1" thickBot="1" x14ac:dyDescent="0.3">
      <c r="A44" s="93"/>
      <c r="B44" s="106"/>
      <c r="C44" s="126"/>
      <c r="D44" s="197" t="s">
        <v>35</v>
      </c>
      <c r="E44" s="196"/>
      <c r="F44" s="198" t="s">
        <v>28</v>
      </c>
      <c r="G44" s="199"/>
      <c r="H44" s="157" t="s">
        <v>29</v>
      </c>
      <c r="I44" s="173"/>
      <c r="J44" s="174"/>
      <c r="K44" s="174"/>
      <c r="L44" s="174"/>
      <c r="M44" s="112"/>
    </row>
    <row r="45" spans="1:13" ht="15.75" customHeight="1" thickBot="1" x14ac:dyDescent="0.25">
      <c r="A45" s="116"/>
      <c r="B45" s="127" t="s">
        <v>36</v>
      </c>
      <c r="C45" s="128">
        <v>0.56999999999999995</v>
      </c>
      <c r="D45" s="193">
        <f>H42</f>
        <v>24904.821817198492</v>
      </c>
      <c r="E45" s="176"/>
      <c r="F45" s="194">
        <f>D45*C45</f>
        <v>14195.74843580314</v>
      </c>
      <c r="G45" s="178"/>
      <c r="H45" s="147">
        <f>D45+F45</f>
        <v>39100.570253001628</v>
      </c>
      <c r="I45" s="173"/>
      <c r="J45" s="174"/>
      <c r="K45" s="174"/>
      <c r="L45" s="174"/>
      <c r="M45" s="112"/>
    </row>
    <row r="46" spans="1:13" ht="15.75" customHeight="1" thickTop="1" thickBot="1" x14ac:dyDescent="0.25">
      <c r="A46" s="116"/>
      <c r="B46" s="129"/>
      <c r="C46" s="129"/>
      <c r="D46" s="158"/>
      <c r="E46" s="159"/>
      <c r="F46" s="150"/>
      <c r="G46" s="151" t="s">
        <v>37</v>
      </c>
      <c r="H46" s="152">
        <f>H45</f>
        <v>39100.570253001628</v>
      </c>
      <c r="I46" s="173"/>
      <c r="J46" s="174"/>
      <c r="K46" s="174"/>
      <c r="L46" s="174"/>
      <c r="M46" s="112"/>
    </row>
    <row r="47" spans="1:13" ht="15.75" customHeight="1" thickBot="1" x14ac:dyDescent="0.25">
      <c r="A47" s="116"/>
      <c r="B47" s="127" t="s">
        <v>47</v>
      </c>
      <c r="C47" s="130">
        <v>0.08</v>
      </c>
      <c r="D47" s="195">
        <f>H45</f>
        <v>39100.570253001628</v>
      </c>
      <c r="E47" s="196"/>
      <c r="F47" s="194">
        <f>D47*C47</f>
        <v>3128.0456202401301</v>
      </c>
      <c r="G47" s="178"/>
      <c r="H47" s="147">
        <f>D47+F47</f>
        <v>42228.615873241761</v>
      </c>
      <c r="I47" s="173"/>
      <c r="J47" s="174"/>
      <c r="K47" s="174"/>
      <c r="L47" s="174"/>
      <c r="M47" s="112"/>
    </row>
    <row r="48" spans="1:13" ht="15.75" customHeight="1" thickTop="1" thickBot="1" x14ac:dyDescent="0.25">
      <c r="A48" s="116"/>
      <c r="B48" s="124"/>
      <c r="C48" s="124"/>
      <c r="D48" s="148"/>
      <c r="E48" s="149"/>
      <c r="F48" s="150"/>
      <c r="G48" s="151" t="s">
        <v>38</v>
      </c>
      <c r="H48" s="152">
        <f>H47</f>
        <v>42228.615873241761</v>
      </c>
      <c r="I48" s="173"/>
      <c r="J48" s="174"/>
      <c r="K48" s="174"/>
      <c r="L48" s="174"/>
      <c r="M48" s="131"/>
    </row>
    <row r="49" spans="1:13" ht="15.75" customHeight="1" thickBot="1" x14ac:dyDescent="0.25">
      <c r="A49" s="93"/>
      <c r="B49" s="38"/>
      <c r="C49" s="38"/>
      <c r="D49" s="38"/>
      <c r="E49" s="38"/>
      <c r="F49" s="38"/>
      <c r="G49" s="38"/>
      <c r="H49" s="97"/>
      <c r="I49" s="94"/>
      <c r="J49" s="94"/>
      <c r="K49" s="98"/>
      <c r="L49" s="104"/>
      <c r="M49" s="104"/>
    </row>
    <row r="50" spans="1:13" ht="15.75" customHeight="1" thickTop="1" thickBot="1" x14ac:dyDescent="0.3">
      <c r="A50" s="93"/>
      <c r="B50" s="132"/>
      <c r="C50" s="133" t="s">
        <v>39</v>
      </c>
      <c r="D50" s="134"/>
      <c r="E50" s="134"/>
      <c r="F50" s="134"/>
      <c r="G50" s="135"/>
      <c r="H50" s="103"/>
      <c r="I50" s="95"/>
      <c r="J50" s="136"/>
      <c r="K50" s="137" t="str">
        <f>G42</f>
        <v>Costo Total</v>
      </c>
      <c r="L50" s="138" t="s">
        <v>40</v>
      </c>
      <c r="M50" s="163">
        <f>H48/4</f>
        <v>10557.15396831044</v>
      </c>
    </row>
    <row r="51" spans="1:13" ht="15.75" customHeight="1" x14ac:dyDescent="0.25">
      <c r="A51" s="93"/>
      <c r="B51" s="139" t="s">
        <v>41</v>
      </c>
      <c r="C51" s="140" t="s">
        <v>42</v>
      </c>
      <c r="D51" s="134"/>
      <c r="E51" s="134"/>
      <c r="F51" s="134"/>
      <c r="G51" s="135"/>
      <c r="H51" s="103"/>
      <c r="I51" s="95"/>
      <c r="J51" s="93"/>
      <c r="K51" s="141"/>
      <c r="L51" s="141"/>
      <c r="M51" s="164"/>
    </row>
    <row r="52" spans="1:13" ht="15.75" customHeight="1" thickBot="1" x14ac:dyDescent="0.3">
      <c r="A52" s="93"/>
      <c r="B52" s="139" t="s">
        <v>43</v>
      </c>
      <c r="C52" s="140" t="s">
        <v>44</v>
      </c>
      <c r="D52" s="132"/>
      <c r="E52" s="134"/>
      <c r="F52" s="134"/>
      <c r="G52" s="135"/>
      <c r="H52" s="103"/>
      <c r="I52" s="95"/>
      <c r="J52" s="93"/>
      <c r="K52" s="141"/>
      <c r="L52" s="141"/>
      <c r="M52" s="164"/>
    </row>
    <row r="53" spans="1:13" ht="15.75" customHeight="1" thickTop="1" thickBot="1" x14ac:dyDescent="0.3">
      <c r="A53" s="93"/>
      <c r="B53" s="139" t="s">
        <v>45</v>
      </c>
      <c r="C53" s="140" t="s">
        <v>46</v>
      </c>
      <c r="D53" s="132"/>
      <c r="E53" s="134"/>
      <c r="F53" s="134"/>
      <c r="G53" s="135"/>
      <c r="H53" s="103"/>
      <c r="I53" s="95"/>
      <c r="J53" s="136"/>
      <c r="K53" s="137" t="str">
        <f>G46</f>
        <v>Precio sin IVA</v>
      </c>
      <c r="L53" s="138" t="s">
        <v>40</v>
      </c>
      <c r="M53" s="163">
        <f>M50</f>
        <v>10557.15396831044</v>
      </c>
    </row>
    <row r="54" spans="1:13" ht="15.75" customHeight="1" thickBot="1" x14ac:dyDescent="0.3">
      <c r="A54" s="58"/>
      <c r="B54" s="142"/>
      <c r="C54" s="142"/>
      <c r="D54" s="142"/>
      <c r="E54" s="142"/>
      <c r="F54" s="142"/>
      <c r="G54" s="143"/>
      <c r="H54" s="27"/>
      <c r="I54" s="25"/>
      <c r="J54" s="93"/>
      <c r="K54" s="141"/>
      <c r="L54" s="141"/>
      <c r="M54" s="164"/>
    </row>
    <row r="55" spans="1:13" ht="15.75" customHeight="1" thickTop="1" thickBot="1" x14ac:dyDescent="0.25">
      <c r="J55" s="136"/>
      <c r="K55" s="137" t="str">
        <f>G48</f>
        <v>P.V. Sugerido</v>
      </c>
      <c r="L55" s="138" t="s">
        <v>40</v>
      </c>
      <c r="M55" s="163">
        <f>M53*16/100+2.78</f>
        <v>1691.9246349296704</v>
      </c>
    </row>
    <row r="56" spans="1:13" ht="15.75" customHeight="1" x14ac:dyDescent="0.2">
      <c r="J56" s="144"/>
      <c r="K56" s="144"/>
      <c r="L56" s="144"/>
      <c r="M56" s="144"/>
    </row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26">
    <mergeCell ref="D45:E45"/>
    <mergeCell ref="F45:G45"/>
    <mergeCell ref="D47:E47"/>
    <mergeCell ref="F47:G47"/>
    <mergeCell ref="D40:E40"/>
    <mergeCell ref="F40:G40"/>
    <mergeCell ref="D41:E41"/>
    <mergeCell ref="F41:G41"/>
    <mergeCell ref="D44:E44"/>
    <mergeCell ref="F44:G44"/>
    <mergeCell ref="E11:F11"/>
    <mergeCell ref="K11:L11"/>
    <mergeCell ref="A12:A25"/>
    <mergeCell ref="D30:E30"/>
    <mergeCell ref="F30:G30"/>
    <mergeCell ref="I30:L48"/>
    <mergeCell ref="D31:E31"/>
    <mergeCell ref="F31:G31"/>
    <mergeCell ref="C32:C37"/>
    <mergeCell ref="D32:E37"/>
    <mergeCell ref="F32:G37"/>
    <mergeCell ref="H32:H37"/>
    <mergeCell ref="D38:E38"/>
    <mergeCell ref="F38:G38"/>
    <mergeCell ref="D39:E39"/>
    <mergeCell ref="F39:G39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5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Stiven Henao Aguirre</cp:lastModifiedBy>
  <dcterms:created xsi:type="dcterms:W3CDTF">2025-12-08T18:26:27Z</dcterms:created>
  <dcterms:modified xsi:type="dcterms:W3CDTF">2026-07-16T00:09:12Z</dcterms:modified>
</cp:coreProperties>
</file>